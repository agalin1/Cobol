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 Necesidad" sheetId="1" r:id="rId4"/>
    <sheet state="visible" name="Resúmen para SDA" sheetId="2" r:id="rId5"/>
    <sheet state="visible" name="Mapa de RCP (Funcionalidades)" sheetId="3" r:id="rId6"/>
    <sheet state="visible" name="Datos" sheetId="4" r:id="rId7"/>
    <sheet state="visible" name="Mapa de Involucrados" sheetId="5" r:id="rId8"/>
    <sheet state="hidden" name="Hoja 2" sheetId="6" r:id="rId9"/>
  </sheets>
  <definedNames/>
  <calcPr/>
  <extLst>
    <ext uri="GoogleSheetsCustomDataVersion2">
      <go:sheetsCustomData xmlns:go="http://customooxmlschemas.google.com/" r:id="rId10" roundtripDataChecksum="NuQLBm4eTSTCxlrSfEijYIxWdT1akbDA2t/y6da3Jr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
ID#AAAB8xCYVo4
    (2026-05-26 21:04:58)
Definir el motivo de desarrollar el Proyecto | Iniciativa, incluyendo las ventajas de llevarlo a cabo y los riesgos de no llevarlo a cabo.
Explicar por qué se necesita el Proyecto | Iniciativa</t>
      </text>
    </comment>
  </commentList>
  <extLst>
    <ext uri="GoogleSheetsCustomDataVersion2">
      <go:sheetsCustomData xmlns:go="http://customooxmlschemas.google.com/" r:id="rId1" roundtripDataSignature="AMtx7mg77mUdwPom3EB2NHuHrpkFkmGIO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
ID#AAAB8xCYVp0
    (2026-05-26 21:04:58)
Definir el motivo de desarrollar el Proyecto | Iniciativa, incluyendo las ventajas de llevarlo a cabo y los riesgos de no llevarlo a cabo.
Explicar por qué se necesita el Proyecto | Iniciativa</t>
      </text>
    </comment>
    <comment authorId="0" ref="J7">
      <text>
        <t xml:space="preserve">======
ID#AAAB8xCYVpI
    (2026-05-26 21:04:58)
¿Que mueve al cliente para qué origine la necesidad que estamos presentando? (proyecto vital)</t>
      </text>
    </comment>
    <comment authorId="0" ref="J22">
      <text>
        <t xml:space="preserve">======
ID#AAAB8xCYVp8
    (2026-05-26 21:04:58)
¿Qué le impide poder seguir evolucionando su proyecto?</t>
      </text>
    </comment>
    <comment authorId="0" ref="D16">
      <text>
        <t xml:space="preserve">======
ID#AAAB8xCYVos
    (2026-05-26 21:04:58)
¿Que mueve al cliente para qué origine la necesidad que estamos presentando? (proyecto vital)</t>
      </text>
    </comment>
    <comment authorId="0" ref="J19">
      <text>
        <t xml:space="preserve">======
ID#AAAB8xCYVpA
    (2026-05-26 21:04:58)
¿Qué le impide poder seguir evolucionando su proyecto?</t>
      </text>
    </comment>
    <comment authorId="0" ref="J15">
      <text>
        <t xml:space="preserve">======
ID#AAAB8xCYVo0
    (2026-05-26 21:04:58)
¿Qué le impide poder seguir evolucionando su proyecto?</t>
      </text>
    </comment>
    <comment authorId="0" ref="J14">
      <text>
        <t xml:space="preserve">======
ID#AAAB8xCYVps
    (2026-05-26 21:04:58)
¿Qué le impide poder seguir evolucionando su proyecto?</t>
      </text>
    </comment>
    <comment authorId="0" ref="J11">
      <text>
        <t xml:space="preserve">======
ID#AAAB8xCYVqI
    (2026-05-26 21:04:58)
¿Que mueve al cliente para qué origine la necesidad que estamos presentando? (proyecto vital)</t>
      </text>
    </comment>
  </commentList>
  <extLst>
    <ext uri="GoogleSheetsCustomDataVersion2">
      <go:sheetsCustomData xmlns:go="http://customooxmlschemas.google.com/" r:id="rId1" roundtripDataSignature="AMtx7milTedcNSeJ7VyX5nYZPemNDyTfA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
ID#AAAB8xCYVpg
    (2026-05-26 21:04:58)
Funcionalidad: (Producto o servicio)</t>
      </text>
    </comment>
    <comment authorId="0" ref="F4">
      <text>
        <t xml:space="preserve">======
ID#AAAB8xCYVok
    (2026-05-26 21:04:58)
Funcionalidad: (Producto o servicio)</t>
      </text>
    </comment>
    <comment authorId="0" ref="H4">
      <text>
        <t xml:space="preserve">======
ID#AAAB8xCYVpo
    (2026-05-26 21:04:58)
¿Qué puedo ofrecer de más al cliente para sorprenderlo?</t>
      </text>
    </comment>
  </commentList>
  <extLst>
    <ext uri="GoogleSheetsCustomDataVersion2">
      <go:sheetsCustomData xmlns:go="http://customooxmlschemas.google.com/" r:id="rId1" roundtripDataSignature="AMtx7mg+42OqhC9MFcFdM6mYhzS49d4pWg=="/>
    </ext>
  </extLst>
</comments>
</file>

<file path=xl/sharedStrings.xml><?xml version="1.0" encoding="utf-8"?>
<sst xmlns="http://schemas.openxmlformats.org/spreadsheetml/2006/main" count="338" uniqueCount="236">
  <si>
    <t>CANAL A OPERAR</t>
  </si>
  <si>
    <t>FASE</t>
  </si>
  <si>
    <r>
      <rPr>
        <rFont val="Arial"/>
        <b/>
        <color rgb="FF002547"/>
        <sz val="28.0"/>
      </rPr>
      <t xml:space="preserve">MAPA DE RCP </t>
    </r>
    <r>
      <rPr>
        <rFont val="Arial"/>
        <b/>
        <color rgb="FF002547"/>
        <sz val="17.0"/>
      </rPr>
      <t>(Funcionalidades)</t>
    </r>
    <r>
      <rPr>
        <rFont val="Arial"/>
        <b/>
        <color rgb="FF000000"/>
        <sz val="28.0"/>
      </rPr>
      <t xml:space="preserve">
</t>
    </r>
    <r>
      <rPr>
        <rFont val="Arial"/>
        <b val="0"/>
        <color rgb="FF46BDC6"/>
        <sz val="14.0"/>
      </rPr>
      <t>SDA 56742 Pricing Vehículo diferenciado por Concesionario según Grupo Pago Comisiones</t>
    </r>
  </si>
  <si>
    <t>BC PRICING VEHICULO</t>
  </si>
  <si>
    <t>Tipo</t>
  </si>
  <si>
    <t>COMENTARIOS</t>
  </si>
  <si>
    <t>CANALES CAP, WEB Y NÁCAR</t>
  </si>
  <si>
    <t>Cant</t>
  </si>
  <si>
    <t>Valores / Combo Box</t>
  </si>
  <si>
    <t>LISTA DESPLEGABLE NACAR - WEB UX - CAP - APIS</t>
  </si>
  <si>
    <r>
      <rPr>
        <rFont val="Arial"/>
        <b/>
        <color rgb="FF002547"/>
        <sz val="28.0"/>
      </rPr>
      <t>Definición Necesidad del cliente</t>
    </r>
    <r>
      <rPr>
        <rFont val="Arial"/>
        <b/>
        <color rgb="FF000000"/>
        <sz val="28.0"/>
      </rPr>
      <t xml:space="preserve">
</t>
    </r>
  </si>
  <si>
    <t>¿Cuál es la necesidad que tiene el cliente?</t>
  </si>
  <si>
    <t>SDATOOL XXXX
Nombre de la Idea:</t>
  </si>
  <si>
    <t>VARIABLE SE UNIFICA</t>
  </si>
  <si>
    <t>¿Cuál es la funcionalidad que cubre esa necesidad?</t>
  </si>
  <si>
    <t>¿Qué Impide a la persona cubrir la necesidad, o que daños colaterales hay?</t>
  </si>
  <si>
    <r>
      <rPr>
        <rFont val="Arial"/>
        <b/>
        <color theme="1"/>
      </rPr>
      <t>CANAL (QUE ORIGINA LA VENTA)</t>
    </r>
    <r>
      <rPr>
        <rFont val="Arial"/>
        <color theme="1"/>
      </rPr>
      <t xml:space="preserve">
Paga Comisión CSF
/Mercado Directo(Red/Leads/Preaprobados)</t>
    </r>
  </si>
  <si>
    <t>¿Cuál es la funcionalidad que cubre el impedimento?</t>
  </si>
  <si>
    <t>Menciona  los beneficios que tendría el cliente</t>
  </si>
  <si>
    <t>Comisión</t>
  </si>
  <si>
    <t>Pago comisión, cobro tasa más alta 
Red, Leads, Segmento Particulares, Mercado Directo No pagan comisión al dealer</t>
  </si>
  <si>
    <r>
      <rPr>
        <rFont val="Arial"/>
        <b/>
        <color rgb="FF002547"/>
        <sz val="35.0"/>
      </rPr>
      <t>Definición Necesidad del cliente</t>
    </r>
    <r>
      <rPr>
        <rFont val="Arial"/>
        <b/>
        <color rgb="FF000000"/>
        <sz val="35.0"/>
      </rPr>
      <t xml:space="preserve">
</t>
    </r>
  </si>
  <si>
    <r>
      <rPr>
        <rFont val="Open Sans"/>
        <b/>
        <color rgb="FFFFFFFF"/>
        <sz val="13.0"/>
      </rPr>
      <t xml:space="preserve">¿Qué puedo ofrecer de más al cliente para sorprenderlo? (Incremento de valor) 
</t>
    </r>
    <r>
      <rPr>
        <rFont val="Open Sans"/>
        <b/>
        <color rgb="FFFFFFFF"/>
        <sz val="9.0"/>
      </rPr>
      <t>No siempre debe ser producto o servicio (experiencia)</t>
    </r>
  </si>
  <si>
    <t xml:space="preserve">Reto identificar el canal para asignar la tasa
directamente en Nácar se radican planes especial y reprocesos.
Actualmente la identificacion es porque hay sub diferenciados para la red y para la CSF,
 únicamente, nombrados como red o CF según corresponde, para el caso de web, son estudiados con un solo subproducto para los dos canales se debe validar si para web deben tener un diferencial tal como crear un campo, etc (campo de captura </t>
  </si>
  <si>
    <t>Biografía del cliente</t>
  </si>
  <si>
    <t xml:space="preserve"> únicamente, nombrados como red o CF según corresponde, para el caso de web, son estudiados con un solo subproducto para los dos canales se debe validar si para web deben tener un diferencial tal como crear un campo, etc (campo de captura </t>
  </si>
  <si>
    <t>Ejemplo</t>
  </si>
  <si>
    <t>Directo: Red/Leads/Directo CSF
Compra de Cartera
Concesionario</t>
  </si>
  <si>
    <t>SDATOOL 56742
Nombre de la Idea: Pricing Vehículo diferenciado por Concesionario según Grupo pago Comisiones y RVD Repositorio de ventas Digitales</t>
  </si>
  <si>
    <t>Información MAP</t>
  </si>
  <si>
    <r>
      <rPr>
        <rFont val="Open Sans"/>
        <color theme="1"/>
        <sz val="12.0"/>
      </rPr>
      <t xml:space="preserve">Entender que canal directo del banco tiene una mejor tasa que un cliente que tiene autogestion.  Armar los </t>
    </r>
    <r>
      <rPr>
        <rFont val="Open Sans"/>
        <i/>
        <color rgb="FF0000FF"/>
        <sz val="12.0"/>
      </rPr>
      <t>Protocolos de gestión al cliente con este cambio de tasas vehiculo concesionarios. Tratamiento al cleinte por los cambios (aumento o disminución de tasas)</t>
    </r>
  </si>
  <si>
    <t>Buscar como identificar en WEB, NACAR Y CAP</t>
  </si>
  <si>
    <t>Items</t>
  </si>
  <si>
    <t>PAGA COMISIÓN EN TODAS LAS CIUDADES</t>
  </si>
  <si>
    <t>Contesta cada pregunta que Encuentras Aquí dando respuesta a la necesidad que tiene el cliente y cómo beneficia al BBVA</t>
  </si>
  <si>
    <t>tener tasa diferencial de acuerdo por el canal de gestión</t>
  </si>
  <si>
    <t>NO VA DENTRO DE ESTE DESARROLLO</t>
  </si>
  <si>
    <t>actualmente tenemos una tasa igual para todos los canales, se debe generar desarrollo que permita contar con este diferencial</t>
  </si>
  <si>
    <t>Permitir identificar de donde proviene la operación para de esta manera en el precio poderle dar una tasa diferencial si no viene por concesionario y es autogestionado dado que no genera pago de comisión a aliados</t>
  </si>
  <si>
    <t>mejora en tasa y oferta</t>
  </si>
  <si>
    <t>tasa por canal, por tipo de vehículo</t>
  </si>
  <si>
    <t>Combo BOX 1. Mecado Directo -  
2. Compra de Cartera. El sponsor debe definir como debe quedar el texto de ese combo box.
Ya no aplica para calculo de rar, pero se requiere identificar de donde proviene la operación
Revisar el tema con UX para validar como se va informar al cliente y su respectivo diligenciamiento.</t>
  </si>
  <si>
    <t>Tener tasa por RAR si toma un vehículo híbrido, actualmente el se tienen tasas únicas que no premian a los mejores perfiles</t>
  </si>
  <si>
    <t>Contar con tasas ajustadas al perfil de riesgo del cliente tambien para vehículos híbridos y eléctricos</t>
  </si>
  <si>
    <t>Actualmente existe tasa por perfil de riesgo del cliente únicamente  para tipo de vehículo a gasolina</t>
  </si>
  <si>
    <t>Tasa por tipo de vehículo</t>
  </si>
  <si>
    <t>Tener tasa por RAR si toma una compra de cartera</t>
  </si>
  <si>
    <t>Contar con tasas ajustadas al perfil de riesgo del cliente tambien para compra de cartera</t>
  </si>
  <si>
    <t>Actualmente existe tasa por perfil de riesgo del cliente únicamente  para tipo de vehículo a gasolina no existe para compra de cartera, se hace necesario</t>
  </si>
  <si>
    <t>Grupo Pago de Comisión Concesionarios / Mercado directo/ Compra de cartera</t>
  </si>
  <si>
    <t>Tasa para compra de cartera</t>
  </si>
  <si>
    <t>Acompañamiento proyectivo
(Project rationale (Why))</t>
  </si>
  <si>
    <t>Marca no está en el front cap y en web + NACAR</t>
  </si>
  <si>
    <t>Generar nuevos campos concesionario en web y CAP + NACAR</t>
  </si>
  <si>
    <t>Contexto y Antecedentes</t>
  </si>
  <si>
    <r>
      <rPr>
        <rFont val="Arial"/>
        <color theme="1"/>
      </rPr>
      <t xml:space="preserve">Generar nuevos campos concesionario en web y CAP </t>
    </r>
    <r>
      <rPr>
        <rFont val="Arial"/>
        <b/>
        <color rgb="FFFF0000"/>
        <sz val="12.0"/>
      </rPr>
      <t>(PARA APIS: PROPUESTA UNA FASE POSTERIOR) Dependemos del analisis que haga ENG se incluye o no en esta fase.</t>
    </r>
  </si>
  <si>
    <t>¿Que mueve al cliente para qué origine la necesidad que estamos presentando? (Cuál es su proyecto vital)
Fortalecer el modelo Pricing Vehículo para tasa fija y variable, buscando mejorar la rentabilidad y la capacidad de segmentación para generar diferenciación en la oferta comercial. Actualmente, el modelo pricing contempla 3 variables (buro, ingreso y situación laboral), por lo que se identifica la necesidad de incorporar 7 variables adicionales que permitan contar con un esquema más granular, robusto, preciso y alineado al perfil y comportamiento de los clientes, de igual manera contemplarlo en el modelo de preaprobados.
Adicionalmente, se requiere implementar el Repositorio de Ventas Digitales (RVD) para vehículo web que facilite la consolidación y análisis de métricas de desempeño del producto, comercial, tecnológico, operativo y de Riesgo, que apalanque la toma de decisiones sobre el canal digital de Vehículo WEB.¿Existe algún caso de éxito o de la competencia o en otra geografía que resuelva esta necesidad?
Pricing: Sí, en el sector financiero existen varios casos de éxito en los que las entidades han evolucionado sus modelos de pricing incorporando variables avanzadas de segmentación y analítica para mejorar la rentabilidad, optimizar la gestión del riesgo y ofrecer condiciones más personalizadas a los clientes dentro de estos están (tasas diferenciales por tipo de vehículo, por tipo de garantía, por % de financiación del carro, por canal, tipo de combustible) entre otras. Ejm: Finandina, Sufi, Santander. 
RVD: Todos los flujos digitales de BBVA Colombia cuentan con RVD para consolidar información de ventas digitales y generar métricas de desempeño, permitiendo una toma de decisiones más ágil y basada en datos. Estas iniciativas han demostrado mejoras en segmentación, monitoreo comercial y optimización de campañas y ofertas digitales.</t>
  </si>
  <si>
    <r>
      <rPr>
        <rFont val="Arial"/>
        <color rgb="FF0000FF"/>
      </rPr>
      <t>TABLA COMO INSUMO PARA ENCONTRAR EL CLOSTER</t>
    </r>
    <r>
      <rPr>
        <rFont val="Arial"/>
        <color theme="1"/>
      </rPr>
      <t xml:space="preserve">
Grupo 1
Grupo 2
Grupo 3
Grupo 4
Grupo 5 (red leads, csf directo)
Grupo 6 compra de cartera</t>
    </r>
  </si>
  <si>
    <t>Acompañamiento proyectivo</t>
  </si>
  <si>
    <t xml:space="preserve">Contexto y Antecedentes
</t>
  </si>
  <si>
    <r>
      <rPr>
        <rFont val="Arial"/>
        <color theme="1"/>
        <sz val="9.0"/>
      </rPr>
      <t xml:space="preserve">Los front deben identificar  la posibilidad de escoger concesionario, directo o Compra de cartera
Si escojo directo debe identificar si soy un lead, un directo de csf o un pago concesionario y red (leticia) e identificar el destino de donde viene o si es compra de cartera
combo box 192 
Directo
Compra de cartera
Resto....
por detras
Grupo 1
Grupo 2
Grupo 3
Grupo 4
Grupo 5 (directo) lead no lo asiste nadie, red asesor leticia, directo csf nombre gestor csf entra por lead y y queda en NACAR.
</t>
    </r>
    <r>
      <rPr>
        <rFont val="Arial"/>
        <color rgb="FF0000FF"/>
        <sz val="9.0"/>
      </rPr>
      <t xml:space="preserve">Grupo 6 Compra de cartera (solo por CAP y NACAR) </t>
    </r>
    <r>
      <rPr>
        <rFont val="Arial"/>
        <color rgb="FFFF0000"/>
        <sz val="9.0"/>
      </rPr>
      <t>Programar una sesión puntual. HCMO</t>
    </r>
  </si>
  <si>
    <t>implica que vehiculo web pueda comprar cartera
Los front deben tener separacion para saber si es compra de cartera</t>
  </si>
  <si>
    <r>
      <rPr>
        <rFont val="Open Sans"/>
        <color rgb="FF000000"/>
        <sz val="12.0"/>
      </rPr>
      <t xml:space="preserve">¿Que mueve al cliente para qué origine la necesidad que estamos presentando? (Cuál es su proyecto vital)
</t>
    </r>
    <r>
      <rPr>
        <rFont val="Open Sans"/>
        <color rgb="FF0000FF"/>
        <sz val="12.0"/>
      </rPr>
      <t>Fortalecer el modelo Pricing Vehículo para tasa fija y variable, buscando mejorar la rentabilidad y la capacidad de segmentación para generar diferenciación en la oferta comercial. Actualmente, el modelo pricing contempla 3 variables (buro, ingreso y situación laboral), por lo que se identifica la necesidad de incorporar 7 variables adicionales que permitan contar con un esquema más granular, robusto, preciso y alineado al perfil y comportamiento de los clientes, de igual manera contemplarlo en el modelo de preaprobados.
Adicionalmente, se requiere implementar el Repositorio de Ventas Digitales (RVD) para vehículo web que facilite la consolidación y análisis de métricas de desempeño del producto, comercial, tecnológico, operativo y de Riesgo, que apalanque la toma de decisiones sobre el canal digital de Vehículo WEB.</t>
    </r>
  </si>
  <si>
    <t xml:space="preserve">identificar la marca y poder diligenciar el concesionario,
WEB y CAP nueva caja para captura en front, por detras una parametria (HOST grupo 1 2 3 etc,, BASE DE DATOS) y en el front la pinte para selección del usuario el concesionario. Por grupos. Esto es una nueva TX alta modificación eliminar.
Nace vehiculo WEB, luego llega a ruta tantia, seguido lo monta a bonita y luego a nacar la transcribe para aprobación del scoring.
Validar el reporte...incluir en el reporte por grupos de conscesionarios,
CAP se utliza cuando no hay aprobación por WEB. A CAP llega </t>
  </si>
  <si>
    <t>Prenda / Sin Prenda</t>
  </si>
  <si>
    <t>Diferenciador en el mercado</t>
  </si>
  <si>
    <t>identificación por subproducto</t>
  </si>
  <si>
    <r>
      <rPr>
        <rFont val="Arial"/>
        <color theme="1"/>
      </rPr>
      <t xml:space="preserve">RETO GIGANTE, WEB no preguntamos qué garantía sino lo clasificamos por los ingresos del cliente , en nácar no se pregunta unicamente se identifica por el subproducto dado que los subproductos que tienen atada la garantia </t>
    </r>
    <r>
      <rPr>
        <rFont val="Arial"/>
        <color rgb="FF0000FF"/>
      </rPr>
      <t>305 es prenda nuevo, 306</t>
    </r>
    <r>
      <rPr>
        <rFont val="Arial"/>
        <color theme="1"/>
      </rPr>
      <t xml:space="preserve"> prenda usado y los que tienen la 398 es informativa para sin prenda,</t>
    </r>
  </si>
  <si>
    <t>Necesidad del cliente</t>
  </si>
  <si>
    <t xml:space="preserve"> en WEB no preguntamos qué garantía sino lo clasificamos por los ingresos del cliente, se debe validar este punto en nácar no se pregunta unicamente se identifica por el subproducto dado que los subproductos que tienen atada la garantia 305 es prenda nuevo, 306 prenda usado y los que tienen la 398 es informativa para sin prenda, Validar si se debe crear una sección en nacar para identificarlo</t>
  </si>
  <si>
    <r>
      <rPr>
        <rFont val="Open Sans"/>
        <color rgb="FF000000"/>
        <sz val="12.0"/>
      </rPr>
      <t xml:space="preserve">¿Qué se ha hecho hasta ahora para resolver esa necesidad?
</t>
    </r>
    <r>
      <rPr>
        <rFont val="Open Sans"/>
        <color rgb="FF0000FF"/>
        <sz val="12.0"/>
      </rPr>
      <t xml:space="preserve">Dado que el modelo de Pricing solo contempla 3 variables, hemos tenido que crear inmurables subproductos con tasa única que subsanen la falta del modelo para las 7 variables adicionales, lo que hace compleja el dinamismo de la oferta para diferenciar las tasas según la segmentación para lograr la rentabilidad que requiere el producto.
El producto, en conjunto con riesgo y rentabilidad  hemos realizado análisis funcionales y de negocio para identificar las nuevas variables relevantes a incorporar al modelo, así como el impacto esperado en la estrategia comercial y en la experiencia del cliente. En cuanto a Vehículo Web, nos hemos apalancado en el análisis de la base de Adobe para gestionar las causales de caída del funnel; sin embargo esta información ha dificultado la identificación de incidencias y mayor profundidad para abordar los ajustes requeridos en el funnel que permitan aumentar el riskok; adicional la base de caídas de veh web se apagó con la entrada a producción de mejor oferta, con lo cual el producto, tecnología y riesgos no tenemos la herramienta requerida (RVD) que permita contar con las métricas para el seguimiento y mejora en el desempeño del canal Vehículo WEB.  </t>
    </r>
  </si>
  <si>
    <t>Seleccione aquí canal a utilizar</t>
  </si>
  <si>
    <r>
      <rPr>
        <rFont val="Arial"/>
        <color rgb="FFFF0000"/>
        <sz val="9.0"/>
      </rPr>
      <t>1, PRENDA (cuales subproductos son con prenda)</t>
    </r>
    <r>
      <rPr>
        <rFont val="Arial"/>
        <color theme="1"/>
        <sz val="9.0"/>
      </rPr>
      <t xml:space="preserve">
</t>
    </r>
    <r>
      <rPr>
        <rFont val="Arial"/>
        <b/>
        <color rgb="FFFF00FF"/>
        <sz val="9.0"/>
      </rPr>
      <t>2, PRENDA FGA (no entraria dentro de este alcance porque )</t>
    </r>
    <r>
      <rPr>
        <rFont val="Arial"/>
        <color rgb="FF0000FF"/>
        <sz val="9.0"/>
      </rPr>
      <t xml:space="preserve">
</t>
    </r>
    <r>
      <rPr>
        <rFont val="Arial"/>
        <color rgb="FFFF0000"/>
        <sz val="9.0"/>
      </rPr>
      <t xml:space="preserve">
3, SIN PRENDA (cuales subproductos son sin prenda)</t>
    </r>
    <r>
      <rPr>
        <rFont val="Arial"/>
        <color theme="1"/>
        <sz val="9.0"/>
      </rPr>
      <t xml:space="preserve">
4, OTRA ? CUALQUIE OTRA GTIA Q NO SE PRENDARIAS.
</t>
    </r>
    <r>
      <rPr>
        <rFont val="Arial"/>
        <color rgb="FF0000FF"/>
        <sz val="9.0"/>
      </rPr>
      <t xml:space="preserve">Que se atenderá con la tabla </t>
    </r>
    <r>
      <rPr>
        <rFont val="Arial"/>
        <b/>
        <i/>
        <color rgb="FF0000FF"/>
        <sz val="9.0"/>
      </rPr>
      <t>UGDTGAR</t>
    </r>
  </si>
  <si>
    <r>
      <rPr>
        <rFont val="Arial"/>
        <color theme="1"/>
      </rPr>
      <t xml:space="preserve">Se deberá actualizar el combo box incluyendo los nuevos tipos de garantia. </t>
    </r>
    <r>
      <rPr>
        <rFont val="Arial"/>
        <color rgb="FFFF0000"/>
      </rPr>
      <t xml:space="preserve">Revisar WEB - el tema de la validación de los ingresos (camilo cabra).
</t>
    </r>
    <r>
      <rPr>
        <rFont val="Arial"/>
        <color theme="1"/>
      </rPr>
      <t>En NACAR seleccionar el tipo de prenda tabla UGDTGAR.</t>
    </r>
  </si>
  <si>
    <r>
      <rPr>
        <rFont val="Open Sans"/>
        <color rgb="FF000000"/>
        <sz val="12.0"/>
      </rPr>
      <t xml:space="preserve">¿Existe algún caso de éxito o de la competencia o en otra geografía que resuelva esta necesidad?
</t>
    </r>
    <r>
      <rPr>
        <rFont val="Open Sans"/>
        <b/>
        <color rgb="FF0000FF"/>
        <sz val="12.0"/>
      </rPr>
      <t>Pricing</t>
    </r>
    <r>
      <rPr>
        <rFont val="Open Sans"/>
        <color rgb="FF0000FF"/>
        <sz val="12.0"/>
      </rPr>
      <t xml:space="preserve">: Sí, en el sector financiero existen varios casos de éxito en los que las entidades han evolucionado sus modelos de pricing incorporando variables avanzadas de segmentación y analítica para mejorar la rentabilidad, optimizar la gestión del riesgo y ofrecer condiciones más personalizadas a los clientes dentro de estos están (tasas diferenciales por tipo de vehículo, por tipo de garantía, por % de financiación del carro, por canal, tipo de combustible) entre otras. Ejm: Finandina, Sufi, Santander. 
</t>
    </r>
    <r>
      <rPr>
        <rFont val="Open Sans"/>
        <b/>
        <color rgb="FF0000FF"/>
        <sz val="12.0"/>
      </rPr>
      <t>RVD</t>
    </r>
    <r>
      <rPr>
        <rFont val="Open Sans"/>
        <color rgb="FF0000FF"/>
        <sz val="12.0"/>
      </rPr>
      <t>: Todos los flujos digitales de BBVA Colombia cuentan con RVD para consolidar información de ventas digitales y generar métricas de desempeño, permitiendo una toma de decisiones más ágil y basada en datos. Estas iniciativas han demostrado mejoras en segmentación, monitoreo comercial y optimización de campañas y ofertas digitales.</t>
    </r>
  </si>
  <si>
    <r>
      <rPr>
        <rFont val="Arial"/>
        <color rgb="FFFF0000"/>
      </rPr>
      <t xml:space="preserve">Revisar en el fron de la WEB si se requiere con prenda sin prenda. Validad escenarios.
Validar como va en función de los sub productos (matriz). y En que casos se activa o no la prenda. Esto debe validarse por el motor para activar o no con prenda o sin prenda, dependiendo de los que se encuentre en el motor de riesgos.
Dependiendo de lo que selección el cliente con prenda, (por validar).
</t>
    </r>
    <r>
      <rPr>
        <rFont val="Arial"/>
        <color rgb="FF0000FF"/>
      </rPr>
      <t xml:space="preserve">Con esta propuesta de prenda sin prenda, se debe tocar la matriz de sub productos.
</t>
    </r>
    <r>
      <rPr>
        <rFont val="Arial"/>
        <color rgb="FFFF0000"/>
      </rPr>
      <t xml:space="preserve">Pagina blanca SI desarrollos.  
</t>
    </r>
    <r>
      <rPr>
        <rFont val="Arial"/>
        <color rgb="FF0000FF"/>
      </rPr>
      <t>CAP ya lo tiene no aplica desarrollos.
NACAR por revisar pendiente.
LTV: ???</t>
    </r>
  </si>
  <si>
    <t xml:space="preserve">LISTA DESPLEGABLE NACAR </t>
  </si>
  <si>
    <r>
      <rPr>
        <rFont val="Open Sans"/>
        <color rgb="FF000000"/>
        <sz val="12.0"/>
      </rPr>
      <t xml:space="preserve">¿Qué requiere el cliente para cubrir la necesidad que tiene?
</t>
    </r>
    <r>
      <rPr>
        <rFont val="Open Sans"/>
        <color rgb="FF0000FF"/>
        <sz val="12.0"/>
      </rPr>
      <t>Pricing: el cliente final quiere obtener una tasa acorde a su perfil, el vehículo que va a comprar y las condiciones de su crédito. Para ello, se requiere incorporar las variables:  de Grupo de Pago de Comisión de Concesionarios, Tipo de Canal (CSF y RED), Tipo de Combustión (Fósil y híbrido y Eléctrico), Tipo de Garantía (Prenda y No prenda) , Tipo de Vehículo (Nuevo y Usado) , LTV (% Financiación), destino (adquisición, compra de cartera) y un pricing para las ofertas de Preaprobados (precios preferenciales). Para tasa fija y tasa variable
RVD: para los clientes internos (producto y los stakeholders), es necesario disponer de un Repositorio de Ventas Digitales (RVD) que centralice la información y permita generar métricas, seguimiento y análisis del desempeño comercial del canal Vehículo WEB, con el fin de Fortalecer las capacidades analíticas y de monitoreo para la toma de decisiones basadas en datos y optimizar continuamente el riskok, la estrategia comercial y de rentabilidad del producto.</t>
    </r>
  </si>
  <si>
    <t>TIPO DE COMBUSTILE Gasolina/ Híbrido y Eléctrico</t>
  </si>
  <si>
    <t>Selección tipo de combustión</t>
  </si>
  <si>
    <t>Ok en CAP Y WEB, revisar en NÁCAR no está este espacio</t>
  </si>
  <si>
    <r>
      <rPr>
        <rFont val="Open Sans"/>
        <color rgb="FF000000"/>
        <sz val="12.0"/>
      </rPr>
      <t xml:space="preserve">¿Qué aspectos consideras más importantes en la iniciativa que ayuden a cumplir en el desarrollo y bienestar del cliente? (en relación a su proyecto vital
</t>
    </r>
    <r>
      <rPr>
        <rFont val="Open Sans"/>
        <color rgb="FF0000FF"/>
        <sz val="12.0"/>
      </rPr>
      <t>Los aspectos más importantes de la iniciativa están orientados a ofrecer una propuesta de valor más personalizada, y alineada con las necesidades y perfil de cada cliente, de esta manera mejorando la rentabilidad del banco.
Adicionalmente, el Repositorio de Ventas Digitales (RVD) contribuirá a una toma de decisiones más eficiente y basada en datos, permitiendo optimizar continuamente el producto y el proceso comercial.</t>
    </r>
  </si>
  <si>
    <t>revisar en NÁCAR no está este espacio</t>
  </si>
  <si>
    <r>
      <rPr>
        <rFont val="Arial"/>
        <color theme="1"/>
      </rPr>
      <t xml:space="preserve">GASOLINA
HIBRIDO Y ELECTRICO
</t>
    </r>
    <r>
      <rPr>
        <rFont val="Arial"/>
        <b/>
        <color theme="1"/>
      </rPr>
      <t>OTROS</t>
    </r>
  </si>
  <si>
    <r>
      <rPr>
        <rFont val="Open Sans"/>
        <color rgb="FF000000"/>
        <sz val="12.0"/>
      </rPr>
      <t xml:space="preserve">Que busca este usuario de un banco o de un producto para cumplir con su proyecto vital
</t>
    </r>
    <r>
      <rPr>
        <rFont val="Open Sans"/>
        <color rgb="FF0000FF"/>
        <sz val="12.0"/>
      </rPr>
      <t>Como cliente interno del banco, se busca contar con herramientas y capacidades que permitan ofrecer productos más rentables, competitivos y personalizados, alineados con las necesidades del mercado y la estrategia comercial de la organización.
Adicionalmente, se requiere disponer de modelos analíticos más robustos, información centralizada y métricas oportunas que faciliten la toma de decisiones, el seguimiento del desempeño comercial y la optimización continua de la oferta de valor del producto Vehículo. Todo esto con el fin de mejorar la eficiencia del negocio y generar una mejor experiencia para el cliente final.</t>
    </r>
  </si>
  <si>
    <t>WEB - NACAR</t>
  </si>
  <si>
    <t>Puntos de Dolor o miedos del cliente</t>
  </si>
  <si>
    <t>LTV &lt;=70% y &lt;70%</t>
  </si>
  <si>
    <t>pe</t>
  </si>
  <si>
    <t>Cálculo con base en valor del vehículo</t>
  </si>
  <si>
    <r>
      <rPr>
        <rFont val="Open Sans"/>
        <color rgb="FF000000"/>
        <sz val="12.0"/>
      </rPr>
      <t xml:space="preserve">¿Qué le impide al cliente poder seguir evolucionando su proyecto?
</t>
    </r>
    <r>
      <rPr>
        <rFont val="Open Sans"/>
        <color rgb="FF0000FF"/>
        <sz val="12.0"/>
      </rPr>
      <t>Como cliente interno, uno de los principales impedimentos para continuar evolucionando el proyecto es contar con un modelo de pricing limitado en variables y capacidades analíticas, lo que restringe la posibilidad de realizar una segmentación más precisa y de ofrecer condiciones comerciales más competitivas y rentables.
Adicionalmente, la falta de centralización y disponibilidad de métricas consolidadas del canal digital dificulta el seguimiento oportuno del desempeño comercial, la identificación de oportunidades de mejora y la toma de decisiones basadas en datos.
También existen retos asociados a la integración de fuentes de información, evolución tecnológica y adaptación de los modelos actuales para soportar nuevas variables y capacidades analíticas que permitan fortalecer la estrategia digital y la experiencia del cliente final.</t>
    </r>
  </si>
  <si>
    <t>Ok en CAP parcial y WEB parcial, revisar en NÁCAR</t>
  </si>
  <si>
    <t>Validar el espacio en NACAR</t>
  </si>
  <si>
    <t xml:space="preserve"> &lt;=70%
&lt;70%</t>
  </si>
  <si>
    <t>Nuevo / Usado</t>
  </si>
  <si>
    <r>
      <rPr>
        <rFont val="Arial"/>
        <color theme="1"/>
      </rPr>
      <t xml:space="preserve">pe - </t>
    </r>
    <r>
      <rPr>
        <rFont val="Arial"/>
        <b/>
        <color rgb="FFFF0000"/>
      </rPr>
      <t>que es pe?</t>
    </r>
  </si>
  <si>
    <t>Selección tipo de vehículo</t>
  </si>
  <si>
    <r>
      <rPr>
        <rFont val="Open Sans"/>
        <color rgb="FF000000"/>
        <sz val="12.0"/>
      </rPr>
      <t xml:space="preserve">¿Qué dudas le ha surgido inicialmente?
</t>
    </r>
    <r>
      <rPr>
        <rFont val="Open Sans"/>
        <color rgb="FF0000FF"/>
        <sz val="12.0"/>
      </rPr>
      <t xml:space="preserve">Como cliente interno, inicialmente han surgido dudas relacionadas con la viabilidad técnica y funcional de incorporar las nuevas variables dentro del modelo de Pricing Avanzado, así como el impacto que estas puedan tener en los procesos actuales, la rentabilidad del producto y la experiencia del cliente.
También existen inquietudes frente a la disponibilidad, calidad y consistencia de la información requerida para alimentar el modelo, la integración entre las diferentes fuentes de datos y los tiempos necesarios para implementar los ajustes tecnológicos y analíticos.
</t>
    </r>
  </si>
  <si>
    <t>Ok en CAP Y WEB, revisar en NÁCAR, es un campo que diligencia el cliente, de igual manera se identifica por subproducto</t>
  </si>
  <si>
    <t>validar seccion para identificarlos</t>
  </si>
  <si>
    <t>Nuevo
Usado</t>
  </si>
  <si>
    <t>Estado Ideal / Alcance</t>
  </si>
  <si>
    <t>Puntos de Dolor o miedos</t>
  </si>
  <si>
    <r>
      <rPr>
        <rFont val="Open Sans"/>
        <color rgb="FF000000"/>
        <sz val="12.0"/>
      </rPr>
      <t xml:space="preserve">¿Cómo te imaginas el producto o el servicio que resolverá la necesidad?
</t>
    </r>
    <r>
      <rPr>
        <rFont val="Open Sans"/>
        <color rgb="FF0000FF"/>
        <sz val="12.0"/>
      </rPr>
      <t>El servicio ideal debe permitir una integración ágil con las diferentes fuentes de información del banco NÁCAR, CAP, Vehículo Web, garantizando disponibilidad, calidad y trazabilidad de los datos utilizados en el modelo. Asimismo, se espera que la solución tenga capacidad de escalabilidad y flexibilidad para incorporar nuevas variables o ajustes futuros de manera eficiente (dejar paramétrico).
Adicionalmente, se visualiza un Repositorio de Ventas Digitales (RVD) centralizado que permita consolidar información del canal Vehículo WEB, generando métricas, reportes y capacidades analíticas para monitorear el desempeño comercial, apoyar la toma de decisiones y optimizar continuamente la estrategia digital y de rentabilidad del producto.</t>
    </r>
  </si>
  <si>
    <t>¿Qué edad tiene?</t>
  </si>
  <si>
    <t>YA IMPLEMENTADOS</t>
  </si>
  <si>
    <r>
      <rPr>
        <rFont val="Open Sans"/>
        <color rgb="FF000000"/>
        <sz val="12.0"/>
      </rPr>
      <t xml:space="preserve">¿Qué es lo que se va a resolver?
</t>
    </r>
    <r>
      <rPr>
        <rFont val="Open Sans"/>
        <color rgb="FF0000FF"/>
        <sz val="12.0"/>
      </rPr>
      <t>Se busca resolver la necesidad de fortalecer y evolucionar el modelo actual de Pricing Avanzado para Vehículo para tasa fija y variable, incorporando nuevas variables de segmentación y análisis que permitan mejorar la rentabilidad del producto, la precisión en la definición de ofertas comerciales y la personalización hacia el cliente final.
Adicionalmente, se resolverá la necesidad de contar con un Repositorio de Ventas Digitales (RVD) que centralice la información y permita disponer de métricas, trazabilidad y capacidades analíticas para el seguimiento del desempeño comercial del canal digital, facilitando una toma de decisiones más oportuna y basada en datos.</t>
    </r>
  </si>
  <si>
    <t>Buró</t>
  </si>
  <si>
    <t>¿Dónde vive?</t>
  </si>
  <si>
    <t>Implementado</t>
  </si>
  <si>
    <t>En los tres (Nácar, Web y CAP)</t>
  </si>
  <si>
    <r>
      <rPr>
        <rFont val="Open Sans"/>
        <color rgb="FF000000"/>
        <sz val="12.0"/>
      </rPr>
      <t xml:space="preserve">¿Qué está fuera del alcance? Debido a que no resuelve la necesidad
</t>
    </r>
    <r>
      <rPr>
        <rFont val="Open Sans"/>
        <color rgb="FF0000FF"/>
        <sz val="12.0"/>
      </rPr>
      <t>El desarrollo no contempla  nuevos motores de decisión crediticia, cambios en los procesos de originación, o estudio de crédito, el proceso sigue siendo el mismo.</t>
    </r>
    <r>
      <rPr>
        <rFont val="Open Sans"/>
        <color rgb="FF000000"/>
        <sz val="12.0"/>
      </rPr>
      <t xml:space="preserve">
</t>
    </r>
  </si>
  <si>
    <t>¿Tiene alguna profesión u oficio?</t>
  </si>
  <si>
    <t>Ingresos</t>
  </si>
  <si>
    <r>
      <rPr>
        <rFont val="Open Sans"/>
        <color rgb="FF000000"/>
        <sz val="12.0"/>
      </rPr>
      <t xml:space="preserve">¿Existe alguna restricción tecnologica, de ley o normativa que afecte el realizar la idea para satisfacer al cliente?
</t>
    </r>
    <r>
      <rPr>
        <rFont val="Open Sans"/>
        <color rgb="FF0000FF"/>
        <sz val="12.0"/>
      </rPr>
      <t>Desde el punto de vista tecnológico, pueden existir restricciones asociadas a capacidades de integración entre sistemas, tiempos de procesamiento, arquitectura de las aplicaciones actuales y compatibilidad con las plataformas donde opera Vehículo y el Repositorio de Ventas Digitales (RVD), esto debe ser valorado por los equipos correspondientes.
Importante resaltar que cualquier ajuste al modelo de pricing debe cumplir con las políticas internas de riesgo, rentabilidad y gobierno de modelos analíticos establecidas por el banco.</t>
    </r>
  </si>
  <si>
    <t>Situación Laboral (empleado, pensionado y autónomo)</t>
  </si>
  <si>
    <t>¿Qué estado civil tiene?</t>
  </si>
  <si>
    <t>Beneficios hacia BBVA</t>
  </si>
  <si>
    <t>Valor de Negocio / KPI</t>
  </si>
  <si>
    <r>
      <rPr>
        <rFont val="Open Sans"/>
        <color rgb="FF000000"/>
        <sz val="12.0"/>
      </rPr>
      <t xml:space="preserve">¿Cómo beneficia esta idea o solución a BBVA?
</t>
    </r>
    <r>
      <rPr>
        <rFont val="Open Sans"/>
        <color rgb="FF0000FF"/>
        <sz val="12.0"/>
      </rPr>
      <t>La iniciativa beneficia a BBVA al fortalecer el modelo de Pricing Avanzado de Vehículo en tasa fija y variable , permitiendo una mejor segmentación y personalización de las ofertas comerciales mediante la incorporación de nuevas variables analíticas. Esto contribuye a optimizar la rentabilidad del producto, mejorar la competitividad en el mercado y aumentar la eficiencia en la toma de decisiones comerciales.
Adicionalmente, la implementación del Repositorio de Ventas Digitales (RVD) permitirá contar con métricas consolidadas, trazabilidad y capacidades analíticas sobre el desempeño del canal digital, facilitando el monitoreo, seguimiento y optimización continua de la estrategia comercial.
La solución también impulsa la transformación digital del banco, fortalece las capacidades de analítica avanzada y mejora la experiencia del cliente final al ofrecer procesos y condiciones más alineadas a sus necesidades y perfil.</t>
    </r>
  </si>
  <si>
    <r>
      <rPr>
        <rFont val="Open Sans"/>
        <color rgb="FF000000"/>
        <sz val="12.0"/>
      </rPr>
      <t xml:space="preserve">¿Cuál es el valor esperado de retorno?
</t>
    </r>
    <r>
      <rPr>
        <rFont val="Open Sans"/>
        <color rgb="FF0000FF"/>
        <sz val="12.0"/>
      </rPr>
      <t>Está en proceso de elaboración el BC</t>
    </r>
  </si>
  <si>
    <t>¿cúal es el segmento que representa el cliente?</t>
  </si>
  <si>
    <r>
      <rPr>
        <rFont val="Arial"/>
        <color theme="1"/>
        <sz val="12.0"/>
      </rPr>
      <t xml:space="preserve">retorno esperado
</t>
    </r>
    <r>
      <rPr>
        <rFont val="Arial"/>
        <color rgb="FF0000FF"/>
        <sz val="12.0"/>
      </rPr>
      <t>En proceso de elaboración del BC</t>
    </r>
  </si>
  <si>
    <t>Otros</t>
  </si>
  <si>
    <r>
      <rPr>
        <rFont val="Open Sans"/>
        <color rgb="FF000000"/>
        <sz val="12.0"/>
      </rPr>
      <t xml:space="preserve">¿Cuáles son los principales indicadores que moverán los indicadores estratégicos de BBVA?
Rentabilidad
</t>
    </r>
    <r>
      <rPr>
        <rFont val="Open Sans"/>
        <color rgb="FF0000FF"/>
        <sz val="12.0"/>
      </rPr>
      <t xml:space="preserve">Rentabilidad del producto Vehículo : mediante una mejor definición de condiciones comerciales y una segmentación más precisa del pricing.
Capacidad de segmentación y personalización: incorporando nuevas variables que permitan mejorar la precisión del modelo
Eficiencia comercial y analítica: gracias al uso de información más robusta y métricas consolidadas para la toma de decisiones.
Monitoreo y trazabilidad del desempeño digital: mediante el Repositorio de Ventas Digitales (RVD), facilitando el seguimiento de indicadores comerciales y operativos.
</t>
    </r>
  </si>
  <si>
    <t>Preaprobados</t>
  </si>
  <si>
    <r>
      <rPr>
        <rFont val="Open Sans"/>
        <color rgb="FF000000"/>
        <sz val="12.0"/>
      </rPr>
      <t xml:space="preserve">¿Qué canal utilizarás? Glomo | Senda | Gema etc...
¿Aplicativos? 
</t>
    </r>
    <r>
      <rPr>
        <rFont val="Open Sans"/>
        <color rgb="FF0000FF"/>
        <sz val="12.0"/>
      </rPr>
      <t xml:space="preserve">Se anexa tabla con los aplicativos, adicional de lo solicitado para el RVD (Repositorio de ventas digitales)
</t>
    </r>
    <r>
      <rPr>
        <rFont val="Open Sans"/>
        <color rgb="FF000000"/>
        <sz val="12.0"/>
      </rPr>
      <t xml:space="preserve">
</t>
    </r>
  </si>
  <si>
    <t>Se debe validar modelo</t>
  </si>
  <si>
    <t>En NÁCAR Y CAP</t>
  </si>
  <si>
    <t xml:space="preserve">Description (What &amp; Where)
</t>
  </si>
  <si>
    <t xml:space="preserve"> </t>
  </si>
  <si>
    <t>Canal</t>
  </si>
  <si>
    <t>Paga Comisión al Dealer</t>
  </si>
  <si>
    <t>Grupos Concesionarios</t>
  </si>
  <si>
    <t>Validación Actual</t>
  </si>
  <si>
    <t>CSF</t>
  </si>
  <si>
    <t>Consumer Finance</t>
  </si>
  <si>
    <r>
      <rPr>
        <rFont val="Arial"/>
        <color theme="1"/>
      </rPr>
      <t xml:space="preserve">Marcela Bonilla Vehículo referido </t>
    </r>
    <r>
      <rPr>
        <rFont val="Arial"/>
        <b/>
        <color theme="1"/>
      </rPr>
      <t>Concesionarios</t>
    </r>
  </si>
  <si>
    <t>SI</t>
  </si>
  <si>
    <t>Subproductos Adquirir Vehículo</t>
  </si>
  <si>
    <r>
      <rPr>
        <rFont val="Arial"/>
        <color theme="1"/>
      </rPr>
      <t xml:space="preserve">Marcela Bonilla Vehículo - Mercado </t>
    </r>
    <r>
      <rPr>
        <rFont val="Arial"/>
        <b/>
        <color theme="1"/>
      </rPr>
      <t>Directo</t>
    </r>
  </si>
  <si>
    <t>NO</t>
  </si>
  <si>
    <t>NA</t>
  </si>
  <si>
    <t>Subproductos Mdo Directo</t>
  </si>
  <si>
    <r>
      <rPr>
        <rFont val="Arial"/>
        <color theme="1"/>
      </rPr>
      <t xml:space="preserve">Compra de Cartera - Marcela Bonilla Vehículo - Mercado </t>
    </r>
    <r>
      <rPr>
        <rFont val="Arial"/>
        <b/>
        <color theme="1"/>
      </rPr>
      <t>Directo</t>
    </r>
  </si>
  <si>
    <t>Subproducto Compra Cartera</t>
  </si>
  <si>
    <t>Segmento Particulares</t>
  </si>
  <si>
    <r>
      <rPr>
        <rFont val="Arial"/>
        <color theme="1"/>
      </rPr>
      <t xml:space="preserve">Gestores Libranza / Vehículo - Mercado </t>
    </r>
    <r>
      <rPr>
        <rFont val="Arial"/>
        <b/>
        <color theme="1"/>
      </rPr>
      <t>Directo</t>
    </r>
  </si>
  <si>
    <t>hoy usan sub Consumer Finance Adquirir Veh</t>
  </si>
  <si>
    <t>Leads Autogestionados Veh Web</t>
  </si>
  <si>
    <r>
      <rPr>
        <rFont val="Arial"/>
        <color theme="1"/>
      </rPr>
      <t xml:space="preserve">Vehículo Web Autogestión - Asistidos FFVV Marcela Bonilla Mercado </t>
    </r>
    <r>
      <rPr>
        <rFont val="Arial"/>
        <b/>
        <color theme="1"/>
      </rPr>
      <t>Directo</t>
    </r>
  </si>
  <si>
    <t>RED</t>
  </si>
  <si>
    <r>
      <rPr>
        <rFont val="Arial"/>
        <color theme="1"/>
      </rPr>
      <t xml:space="preserve">Adquirir carro </t>
    </r>
    <r>
      <rPr>
        <rFont val="Arial"/>
        <b/>
        <color theme="1"/>
      </rPr>
      <t xml:space="preserve">- </t>
    </r>
    <r>
      <rPr>
        <rFont val="Arial"/>
        <color theme="1"/>
      </rPr>
      <t xml:space="preserve">Mercado </t>
    </r>
    <r>
      <rPr>
        <rFont val="Arial"/>
        <b/>
        <color theme="1"/>
      </rPr>
      <t>Directo</t>
    </r>
  </si>
  <si>
    <t>Subproducto</t>
  </si>
  <si>
    <r>
      <rPr>
        <rFont val="Arial"/>
        <color theme="1"/>
      </rPr>
      <t xml:space="preserve">Compra de Cartera - Mercado </t>
    </r>
    <r>
      <rPr>
        <rFont val="Arial"/>
        <b/>
        <color theme="1"/>
      </rPr>
      <t>Directo</t>
    </r>
  </si>
  <si>
    <t>hoy usan sub Consumer Finance Compra Catera</t>
  </si>
  <si>
    <t>usuarios</t>
  </si>
  <si>
    <t>Cliente</t>
  </si>
  <si>
    <t>CSF referido concesionarios</t>
  </si>
  <si>
    <t>CSF Seg Part mdo directo</t>
  </si>
  <si>
    <t>csf mercado direc</t>
  </si>
  <si>
    <t xml:space="preserve">Dealer </t>
  </si>
  <si>
    <t xml:space="preserve">red oficina simular mejor oferta. </t>
  </si>
  <si>
    <r>
      <rPr>
        <rFont val="Arial"/>
        <b/>
        <color rgb="FF002547"/>
        <sz val="28.0"/>
      </rPr>
      <t>MAPA DE INVOLUCRADOS</t>
    </r>
    <r>
      <rPr>
        <rFont val="Arial"/>
        <b/>
        <color rgb="FF000000"/>
        <sz val="28.0"/>
      </rPr>
      <t xml:space="preserve">
</t>
    </r>
    <r>
      <rPr>
        <rFont val="Arial"/>
        <b val="0"/>
        <color rgb="FF46BDC6"/>
        <sz val="14.0"/>
      </rPr>
      <t>SDATOOL XXXX
Nombre de la Idea:</t>
    </r>
  </si>
  <si>
    <t>Area</t>
  </si>
  <si>
    <t xml:space="preserve">Dependencia </t>
  </si>
  <si>
    <t>Nombre y Apelldos Funcionario</t>
  </si>
  <si>
    <t>e-mail
(Opcional)</t>
  </si>
  <si>
    <t>Nivel de Involucramiento</t>
  </si>
  <si>
    <t>Producto</t>
  </si>
  <si>
    <t>Vehículos y Aliados</t>
  </si>
  <si>
    <t>Rocío López Ángel</t>
  </si>
  <si>
    <t>Alto</t>
  </si>
  <si>
    <t>Sergio Alejandro Morales</t>
  </si>
  <si>
    <t>Angela María Hernández</t>
  </si>
  <si>
    <t>Solutions</t>
  </si>
  <si>
    <t>Hugo Cesar Mongua Otalora</t>
  </si>
  <si>
    <t>Olga Lara</t>
  </si>
  <si>
    <t>Ingeniería Vehículo web</t>
  </si>
  <si>
    <t>Camilo Cabra, Cristian Francisco Fernandez</t>
  </si>
  <si>
    <t>Rentabilidad</t>
  </si>
  <si>
    <t>Precios</t>
  </si>
  <si>
    <t>Diego Barragán</t>
  </si>
  <si>
    <t>Andrea Nadine</t>
  </si>
  <si>
    <t>Cristian Alejandro Ruiz</t>
  </si>
  <si>
    <t>Finanzas</t>
  </si>
  <si>
    <t>Finannciera</t>
  </si>
  <si>
    <t>Yuliana Girón</t>
  </si>
  <si>
    <t>Equipo de simuladores Daniel Patrón</t>
  </si>
  <si>
    <t>Revisar al interior a quien destina</t>
  </si>
  <si>
    <t>Riesgos</t>
  </si>
  <si>
    <t>Riesgos Políticas</t>
  </si>
  <si>
    <t>Andrei Palomino</t>
  </si>
  <si>
    <t>Diego Tovar</t>
  </si>
  <si>
    <t>Wendy Riaño</t>
  </si>
  <si>
    <t>Recuperaciones</t>
  </si>
  <si>
    <t>Nelson Antorveza</t>
  </si>
  <si>
    <t>Bajo</t>
  </si>
  <si>
    <t>Garantías</t>
  </si>
  <si>
    <t>Jorge Gómez</t>
  </si>
  <si>
    <t>Ux</t>
  </si>
  <si>
    <t>Marketing Ventas digitales</t>
  </si>
  <si>
    <t>Marketing</t>
  </si>
  <si>
    <t xml:space="preserve">Nidia Patricia Moreno / Sara Botero Reemplazo temporal </t>
  </si>
  <si>
    <t>Data (AA)</t>
  </si>
  <si>
    <t>Ingeniería Vehículo CAP</t>
  </si>
  <si>
    <t>Julian Rodriguez, Lida Cabanzo, Jose Mauricio Peña</t>
  </si>
  <si>
    <t>Ingeniería Vehículo NACAR</t>
  </si>
  <si>
    <t>Gloria Hernández / Francisco Cuervo</t>
  </si>
  <si>
    <t>Ingeniería Vehículo HOST</t>
  </si>
  <si>
    <t>Maritza Guerrero, Andres Choachi, Luis Javier Rivera, Oscar Oñate, Jose Mauricio Peña</t>
  </si>
  <si>
    <t>Operaciones</t>
  </si>
  <si>
    <t>Favio Buitrago / Fernando Pisco</t>
  </si>
  <si>
    <t>Fábrica operaciones</t>
  </si>
  <si>
    <t>Jaime Nieto</t>
  </si>
  <si>
    <t>Sandra Silva</t>
  </si>
  <si>
    <t>Riesgo Admisión</t>
  </si>
  <si>
    <t>Sandra Caro</t>
  </si>
  <si>
    <t>Juliana Vargas</t>
  </si>
  <si>
    <t>BPE</t>
  </si>
  <si>
    <t>bpe-col.co@bbva.com</t>
  </si>
  <si>
    <t>Carlos WIlson Saldiarriaga.</t>
  </si>
  <si>
    <r>
      <rPr>
        <rFont val="Arial"/>
        <b/>
        <color rgb="FF002547"/>
        <sz val="28.0"/>
      </rPr>
      <t>Formato USM (Prototipo)(En Construcción)</t>
    </r>
    <r>
      <rPr>
        <rFont val="Arial"/>
        <b/>
        <color rgb="FF000000"/>
        <sz val="28.0"/>
      </rPr>
      <t xml:space="preserve">
</t>
    </r>
    <r>
      <rPr>
        <rFont val="Arial"/>
        <b val="0"/>
        <color rgb="FF46BDC6"/>
        <sz val="14.0"/>
      </rPr>
      <t>SDATOOL XXXX
Nombre de la Idea:</t>
    </r>
    <r>
      <rPr>
        <rFont val="Arial"/>
        <b val="0"/>
        <color rgb="FF000000"/>
        <sz val="15.0"/>
      </rPr>
      <t xml:space="preserve">
</t>
    </r>
    <r>
      <rPr>
        <rFont val="Arial"/>
        <b/>
        <color rgb="FF980000"/>
        <sz val="12.0"/>
      </rPr>
      <t>Nota: Antes de modificar este archivo, crea una copia para ti.</t>
    </r>
  </si>
  <si>
    <t>Taxonomia</t>
  </si>
  <si>
    <r>
      <rPr>
        <rFont val="Open Sans"/>
        <b/>
        <color rgb="FFFFFFFF"/>
        <sz val="12.0"/>
      </rPr>
      <t xml:space="preserve">Proyecto
</t>
    </r>
    <r>
      <rPr>
        <rFont val="Open Sans"/>
        <b val="0"/>
        <color rgb="FFFFFFFF"/>
        <sz val="12.0"/>
      </rPr>
      <t>Breve descripción del producto o proyecto</t>
    </r>
  </si>
  <si>
    <r>
      <rPr>
        <rFont val="Open Sans"/>
        <b/>
        <color rgb="FF000000"/>
        <sz val="12.0"/>
      </rPr>
      <t xml:space="preserve">Funcionalidad
</t>
    </r>
    <r>
      <rPr>
        <rFont val="Open Sans"/>
        <b val="0"/>
        <color rgb="FF000000"/>
        <sz val="12.0"/>
      </rPr>
      <t>Funciones o componentes relevantes del producto o proyecto</t>
    </r>
  </si>
  <si>
    <r>
      <rPr>
        <rFont val="Open Sans"/>
        <b/>
        <color rgb="FF000000"/>
        <sz val="12.0"/>
      </rPr>
      <t xml:space="preserve">Historias de Usuario Funcionales
</t>
    </r>
    <r>
      <rPr>
        <rFont val="Open Sans"/>
        <b val="0"/>
        <color rgb="FF000000"/>
        <sz val="12.0"/>
      </rPr>
      <t>Descripción corta de los  comportamientos del usuario frente acciones que él realizará en la solución</t>
    </r>
  </si>
  <si>
    <r>
      <rPr>
        <rFont val="Open Sans"/>
        <b/>
        <color rgb="FFFFFFFF"/>
        <sz val="12.0"/>
      </rPr>
      <t>Dependencias</t>
    </r>
    <r>
      <rPr>
        <rFont val="Open Sans"/>
        <b/>
        <color rgb="FF000000"/>
        <sz val="12.0"/>
      </rPr>
      <t xml:space="preserve">
</t>
    </r>
    <r>
      <rPr>
        <rFont val="Open Sans"/>
        <b val="0"/>
        <color rgb="FFFFFFFF"/>
        <sz val="12.0"/>
      </rPr>
      <t xml:space="preserve">Notas que destacan las dependencias existentes, posibles riesgos a mitigar o bloqueos existentes a eliminar de forma urgente. </t>
    </r>
  </si>
  <si>
    <t>Nombre de la Iniciativa
SDATOOL</t>
  </si>
  <si>
    <t>Funcionalidad 1</t>
  </si>
  <si>
    <t>Funcionalidad 2</t>
  </si>
  <si>
    <t>Funcionalidad 3</t>
  </si>
  <si>
    <t>Funcionalidad 4</t>
  </si>
  <si>
    <t>Historia de usuario funcional 1</t>
  </si>
  <si>
    <t>Historia de usuario funcional 2</t>
  </si>
  <si>
    <t>Historia de usuario funcional 3</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</si>
</sst>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color theme="1"/>
      <name val="Arial"/>
    </font>
    <font>
      <b/>
      <sz val="12.0"/>
      <color rgb="FF000000"/>
      <name val="Arial"/>
    </font>
    <font>
      <sz val="13.0"/>
      <color rgb="FFFFFFFF"/>
      <name val="Arial"/>
    </font>
    <font>
      <sz val="9.0"/>
      <color rgb="FFFFFFFF"/>
      <name val="Arial"/>
    </font>
    <font>
      <b/>
      <sz val="28.0"/>
      <color rgb="FF000000"/>
      <name val="Arial"/>
    </font>
    <font>
      <sz val="9.0"/>
      <color theme="1"/>
      <name val="Arial"/>
    </font>
    <font>
      <sz val="9.0"/>
      <color rgb="FF0000FF"/>
      <name val="Arial"/>
    </font>
    <font>
      <b/>
      <sz val="12.0"/>
      <color rgb="FFFFFFFF"/>
      <name val="Open Sans"/>
    </font>
    <font>
      <b/>
      <color rgb="FFFFFFFF"/>
      <name val="Arial"/>
    </font>
    <font>
      <sz val="14.0"/>
      <color rgb="FF46BDC6"/>
      <name val="Arial"/>
    </font>
    <font>
      <b/>
      <sz val="10.0"/>
      <color rgb="FFFFFFFF"/>
      <name val="Arial"/>
    </font>
    <font>
      <b/>
      <sz val="13.0"/>
      <color rgb="FFFFFFFF"/>
      <name val="Open Sans"/>
    </font>
    <font>
      <sz val="12.0"/>
      <color theme="1"/>
      <name val="Arial"/>
    </font>
    <font>
      <b/>
      <sz val="35.0"/>
      <color rgb="FF000000"/>
      <name val="Arial"/>
    </font>
    <font/>
    <font>
      <sz val="12.0"/>
      <color theme="1"/>
      <name val="Open Sans"/>
    </font>
    <font>
      <b/>
      <sz val="11.0"/>
      <color rgb="FFFFFFFF"/>
      <name val="Arial"/>
    </font>
    <font>
      <color rgb="FFFF0000"/>
      <name val="Arial"/>
    </font>
    <font>
      <b/>
      <sz val="14.0"/>
      <color theme="1"/>
      <name val="Open Sans"/>
    </font>
    <font>
      <b/>
      <sz val="12.0"/>
      <color rgb="FF000000"/>
      <name val="Open Sans"/>
    </font>
    <font>
      <sz val="12.0"/>
      <color rgb="FF000000"/>
      <name val="Open Sans"/>
    </font>
    <font>
      <b/>
      <color rgb="FF0000FF"/>
      <name val="Arial"/>
    </font>
    <font>
      <i/>
      <sz val="12.0"/>
      <color rgb="FFB7B7B7"/>
      <name val="Open Sans"/>
    </font>
    <font>
      <sz val="14.0"/>
      <color theme="1"/>
      <name val="Open Sans"/>
    </font>
    <font>
      <sz val="12.0"/>
      <color rgb="FFD9D9D9"/>
      <name val="Arial"/>
    </font>
    <font>
      <b/>
      <color theme="1"/>
      <name val="Arial"/>
    </font>
    <font>
      <sz val="12.0"/>
      <color rgb="FF000000"/>
      <name val="Arial"/>
    </font>
    <font>
      <sz val="47.0"/>
      <color rgb="FFFF0000"/>
      <name val="Arial"/>
    </font>
  </fonts>
  <fills count="22">
    <fill>
      <patternFill patternType="none"/>
    </fill>
    <fill>
      <patternFill patternType="lightGray"/>
    </fill>
    <fill>
      <patternFill patternType="solid">
        <fgColor rgb="FFEFEFEF"/>
        <bgColor rgb="FFEFEFEF"/>
      </patternFill>
    </fill>
    <fill>
      <patternFill patternType="solid">
        <fgColor rgb="FF073763"/>
        <bgColor rgb="FF073763"/>
      </patternFill>
    </fill>
    <fill>
      <patternFill patternType="solid">
        <fgColor rgb="FF1C4587"/>
        <bgColor rgb="FF1C4587"/>
      </patternFill>
    </fill>
    <fill>
      <patternFill patternType="solid">
        <fgColor theme="8"/>
        <bgColor theme="8"/>
      </patternFill>
    </fill>
    <fill>
      <patternFill patternType="solid">
        <fgColor rgb="FF0B5394"/>
        <bgColor rgb="FF0B5394"/>
      </patternFill>
    </fill>
    <fill>
      <patternFill patternType="solid">
        <fgColor rgb="FF3D85C6"/>
        <bgColor rgb="FF3D85C6"/>
      </patternFill>
    </fill>
    <fill>
      <patternFill patternType="solid">
        <fgColor rgb="FF6FA8DC"/>
        <bgColor rgb="FF6FA8DC"/>
      </patternFill>
    </fill>
    <fill>
      <patternFill patternType="solid">
        <fgColor rgb="FFFFF2CC"/>
        <bgColor rgb="FFFFF2CC"/>
      </patternFill>
    </fill>
    <fill>
      <patternFill patternType="solid">
        <fgColor rgb="FFFFFFFF"/>
        <bgColor rgb="FFFFFFFF"/>
      </patternFill>
    </fill>
    <fill>
      <patternFill patternType="solid">
        <fgColor rgb="FFFF0000"/>
        <bgColor rgb="FFFF0000"/>
      </patternFill>
    </fill>
    <fill>
      <patternFill patternType="solid">
        <fgColor rgb="FFFCE5CD"/>
        <bgColor rgb="FFFCE5CD"/>
      </patternFill>
    </fill>
    <fill>
      <patternFill patternType="solid">
        <fgColor rgb="FFFFFF00"/>
        <bgColor rgb="FFFFFF00"/>
      </patternFill>
    </fill>
    <fill>
      <patternFill patternType="solid">
        <fgColor rgb="FF00FFFF"/>
        <bgColor rgb="FF00FFFF"/>
      </patternFill>
    </fill>
    <fill>
      <patternFill patternType="solid">
        <fgColor rgb="FFF3F3F3"/>
        <bgColor rgb="FFF3F3F3"/>
      </patternFill>
    </fill>
    <fill>
      <patternFill patternType="solid">
        <fgColor rgb="FFFF00FF"/>
        <bgColor rgb="FFFF00FF"/>
      </patternFill>
    </fill>
    <fill>
      <patternFill patternType="solid">
        <fgColor rgb="FFEA9999"/>
        <bgColor rgb="FFEA9999"/>
      </patternFill>
    </fill>
    <fill>
      <patternFill patternType="solid">
        <fgColor rgb="FFD9EAD3"/>
        <bgColor rgb="FFD9EAD3"/>
      </patternFill>
    </fill>
    <fill>
      <patternFill patternType="solid">
        <fgColor rgb="FFCFE2F3"/>
        <bgColor rgb="FFCFE2F3"/>
      </patternFill>
    </fill>
    <fill>
      <patternFill patternType="solid">
        <fgColor rgb="FF00FF00"/>
        <bgColor rgb="FF00FF00"/>
      </patternFill>
    </fill>
    <fill>
      <patternFill patternType="solid">
        <fgColor rgb="FF741B47"/>
        <bgColor rgb="FF741B47"/>
      </patternFill>
    </fill>
  </fills>
  <borders count="20">
    <border/>
    <border>
      <left style="thin">
        <color rgb="FFCCCCCC"/>
      </left>
      <right style="thin">
        <color rgb="FFCCCCCC"/>
      </right>
      <top style="thin">
        <color rgb="FFCCCCCC"/>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double">
        <color rgb="FF000000"/>
      </left>
      <right style="double">
        <color rgb="FF000000"/>
      </right>
      <top style="double">
        <color rgb="FF000000"/>
      </top>
      <bottom style="double">
        <color rgb="FF000000"/>
      </bottom>
    </border>
    <border>
      <left style="medium">
        <color rgb="FF000000"/>
      </left>
    </border>
    <border>
      <left style="thin">
        <color rgb="FF000000"/>
      </left>
      <right style="thin">
        <color rgb="FF000000"/>
      </right>
      <bottom style="thin">
        <color rgb="FF000000"/>
      </bottom>
    </border>
    <border>
      <right style="medium">
        <color rgb="FF000000"/>
      </right>
    </border>
    <border>
      <left style="thin">
        <color rgb="FFCCCCCC"/>
      </left>
      <right style="thin">
        <color rgb="FFCCCCCC"/>
      </right>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CCCCCC"/>
      </bottom>
    </border>
    <border>
      <right style="thin">
        <color rgb="FFCCCCCC"/>
      </right>
      <top style="thin">
        <color rgb="FFCCCCCC"/>
      </top>
      <bottom style="thin">
        <color rgb="FFCCCCCC"/>
      </bottom>
    </border>
    <border>
      <left style="medium">
        <color rgb="FF000000"/>
      </left>
      <bottom style="medium">
        <color rgb="FF000000"/>
      </bottom>
    </border>
    <border>
      <right style="medium">
        <color rgb="FF000000"/>
      </right>
      <bottom style="medium">
        <color rgb="FF000000"/>
      </bottom>
    </border>
    <border>
      <bottom style="medium">
        <color rgb="FF000000"/>
      </bottom>
    </border>
    <border>
      <left style="hair">
        <color rgb="FF000000"/>
      </left>
      <right style="hair">
        <color rgb="FF000000"/>
      </right>
      <top style="hair">
        <color rgb="FF000000"/>
      </top>
      <bottom style="hair">
        <color rgb="FF000000"/>
      </bottom>
    </border>
    <border>
      <bottom style="thin">
        <color rgb="FF000000"/>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0" fontId="1" numFmtId="0" xfId="0" applyAlignment="1" applyFont="1">
      <alignment vertical="center"/>
    </xf>
    <xf borderId="0" fillId="2" fontId="2" numFmtId="0" xfId="0" applyAlignment="1" applyFill="1" applyFont="1">
      <alignment horizontal="center" shrinkToFit="0" vertical="center" wrapText="1"/>
    </xf>
    <xf borderId="0" fillId="3" fontId="3" numFmtId="0" xfId="0" applyAlignment="1" applyFill="1" applyFont="1">
      <alignment horizontal="center" shrinkToFit="0" vertical="center" wrapText="1"/>
    </xf>
    <xf borderId="0" fillId="3" fontId="4" numFmtId="0" xfId="0" applyAlignment="1" applyFill="1" applyFont="1">
      <alignment horizontal="center" vertical="center"/>
    </xf>
    <xf borderId="0" fillId="2" fontId="5" numFmtId="0" xfId="0" applyAlignment="1" applyFill="1" applyFont="1">
      <alignment horizontal="left" shrinkToFit="0" vertical="center" wrapText="1"/>
    </xf>
    <xf borderId="0" fillId="2" fontId="5" numFmtId="0" xfId="0" applyAlignment="1" applyFill="1" applyFont="1">
      <alignment horizontal="center" shrinkToFit="0" vertical="center" wrapText="1"/>
    </xf>
    <xf borderId="0" fillId="3" fontId="4" numFmtId="0" xfId="0" applyAlignment="1" applyFill="1" applyFont="1">
      <alignment horizontal="center" shrinkToFit="0" vertical="center" wrapText="1"/>
    </xf>
    <xf borderId="0" fillId="2" fontId="1" numFmtId="0" xfId="0" applyAlignment="1" applyFill="1" applyFont="1">
      <alignment vertical="center"/>
    </xf>
    <xf borderId="0" fillId="4" fontId="4" numFmtId="0" xfId="0" applyAlignment="1" applyFill="1" applyFont="1">
      <alignment horizontal="center" vertical="center"/>
    </xf>
    <xf borderId="0" fillId="0" fontId="6" numFmtId="0" xfId="0" applyAlignment="1" applyFont="1">
      <alignment vertical="center"/>
    </xf>
    <xf borderId="0" fillId="0" fontId="7" numFmtId="0" xfId="0" applyAlignment="1" applyFont="1">
      <alignment shrinkToFit="0" vertical="center" wrapText="1"/>
    </xf>
    <xf borderId="1" fillId="3" fontId="8" numFmtId="0" xfId="0" applyAlignment="1" applyBorder="1" applyFill="1" applyFont="1">
      <alignment horizontal="center" shrinkToFit="0" vertical="center" wrapText="1"/>
    </xf>
    <xf borderId="2" fillId="5" fontId="9" numFmtId="0" xfId="0" applyAlignment="1" applyBorder="1" applyFill="1" applyFont="1">
      <alignment horizontal="center" shrinkToFit="0" vertical="center" wrapText="1"/>
    </xf>
    <xf borderId="0" fillId="2" fontId="10" numFmtId="0" xfId="0" applyAlignment="1" applyFill="1" applyFont="1">
      <alignment horizontal="center" shrinkToFit="0" vertical="center" wrapText="1"/>
    </xf>
    <xf borderId="0" fillId="5" fontId="11" numFmtId="0" xfId="0" applyAlignment="1" applyFill="1" applyFont="1">
      <alignment horizontal="center" textRotation="255" vertical="center"/>
    </xf>
    <xf borderId="1" fillId="6" fontId="8" numFmtId="0" xfId="0" applyAlignment="1" applyBorder="1" applyFill="1" applyFont="1">
      <alignment horizontal="center" shrinkToFit="0" vertical="center" wrapText="1"/>
    </xf>
    <xf borderId="3" fillId="5" fontId="1" numFmtId="0" xfId="0" applyAlignment="1" applyBorder="1" applyFill="1" applyFont="1">
      <alignment horizontal="center" shrinkToFit="0" vertical="center" wrapText="1"/>
    </xf>
    <xf borderId="0" fillId="7" fontId="12" numFmtId="0" xfId="0" applyAlignment="1" applyFill="1" applyFont="1">
      <alignment horizontal="center" shrinkToFit="0" vertical="center" wrapText="1"/>
    </xf>
    <xf borderId="3" fillId="5" fontId="1" numFmtId="0" xfId="0" applyAlignment="1" applyBorder="1" applyFill="1" applyFont="1">
      <alignment shrinkToFit="0" vertical="center" wrapText="1"/>
    </xf>
    <xf borderId="0" fillId="2" fontId="13" numFmtId="0" xfId="0" applyAlignment="1" applyFill="1" applyFont="1">
      <alignment horizontal="center" textRotation="90" vertical="center"/>
    </xf>
    <xf borderId="0" fillId="2" fontId="14" numFmtId="0" xfId="0" applyAlignment="1" applyFill="1" applyFont="1">
      <alignment horizontal="center" shrinkToFit="0" vertical="center" wrapText="1"/>
    </xf>
    <xf borderId="4" fillId="8" fontId="8" numFmtId="0" xfId="0" applyAlignment="1" applyBorder="1" applyFill="1" applyFont="1">
      <alignment horizontal="center" vertical="center"/>
    </xf>
    <xf borderId="0" fillId="9" fontId="13" numFmtId="0" xfId="0" applyAlignment="1" applyFill="1" applyFont="1">
      <alignment horizontal="center" textRotation="90" vertical="center"/>
    </xf>
    <xf borderId="5" fillId="0" fontId="15" numFmtId="0" xfId="0" applyBorder="1" applyFont="1"/>
    <xf borderId="3" fillId="5" fontId="1" numFmtId="0" xfId="0" applyAlignment="1" applyBorder="1" applyFill="1" applyFont="1">
      <alignment horizontal="center" vertical="center"/>
    </xf>
    <xf borderId="6" fillId="0" fontId="15" numFmtId="0" xfId="0" applyBorder="1" applyFont="1"/>
    <xf borderId="3" fillId="5" fontId="1" numFmtId="0" xfId="0" applyAlignment="1" applyBorder="1" applyFill="1" applyFont="1">
      <alignment vertical="center"/>
    </xf>
    <xf borderId="0" fillId="5" fontId="1" numFmtId="0" xfId="0" applyAlignment="1" applyFill="1" applyFont="1">
      <alignment shrinkToFit="0" vertical="center" wrapText="1"/>
    </xf>
    <xf borderId="0" fillId="5" fontId="1" numFmtId="0" xfId="0" applyAlignment="1" applyFill="1" applyFont="1">
      <alignment vertical="center"/>
    </xf>
    <xf borderId="7" fillId="10" fontId="16" numFmtId="0" xfId="0" applyAlignment="1" applyBorder="1" applyFill="1" applyFont="1">
      <alignment horizontal="center" shrinkToFit="0" vertical="center" wrapText="1"/>
    </xf>
    <xf borderId="1" fillId="7" fontId="12" numFmtId="0" xfId="0" applyAlignment="1" applyBorder="1" applyFill="1" applyFont="1">
      <alignment horizontal="center" shrinkToFit="0" vertical="center" wrapText="1"/>
    </xf>
    <xf borderId="0" fillId="11" fontId="17" numFmtId="0" xfId="0" applyAlignment="1" applyFill="1" applyFont="1">
      <alignment readingOrder="0" shrinkToFit="0" vertical="center" wrapText="1"/>
    </xf>
    <xf borderId="0" fillId="2" fontId="1" numFmtId="0" xfId="0" applyFill="1" applyFont="1"/>
    <xf borderId="0" fillId="12" fontId="18" numFmtId="0" xfId="0" applyAlignment="1" applyFill="1" applyFont="1">
      <alignment shrinkToFit="0" vertical="center" wrapText="1"/>
    </xf>
    <xf borderId="8" fillId="0" fontId="13" numFmtId="0" xfId="0" applyAlignment="1" applyBorder="1" applyFont="1">
      <alignment horizontal="center" textRotation="90" vertical="center"/>
    </xf>
    <xf borderId="9" fillId="0" fontId="15" numFmtId="0" xfId="0" applyBorder="1" applyFont="1"/>
    <xf borderId="0" fillId="0" fontId="13" numFmtId="0" xfId="0" applyAlignment="1" applyFont="1">
      <alignment horizontal="center" textRotation="90" vertical="center"/>
    </xf>
    <xf borderId="10" fillId="0" fontId="13" numFmtId="0" xfId="0" applyAlignment="1" applyBorder="1" applyFont="1">
      <alignment horizontal="center" textRotation="90" vertical="center"/>
    </xf>
    <xf borderId="3" fillId="10" fontId="1" numFmtId="0" xfId="0" applyAlignment="1" applyBorder="1" applyFill="1" applyFont="1">
      <alignment horizontal="center" shrinkToFit="0" vertical="center" wrapText="1"/>
    </xf>
    <xf borderId="3" fillId="0" fontId="1" numFmtId="0" xfId="0" applyAlignment="1" applyBorder="1" applyFont="1">
      <alignment horizontal="center" shrinkToFit="0" vertical="center" wrapText="1"/>
    </xf>
    <xf borderId="7" fillId="10" fontId="19" numFmtId="0" xfId="0" applyAlignment="1" applyBorder="1" applyFill="1" applyFont="1">
      <alignment horizontal="center" shrinkToFit="0" textRotation="90" vertical="center" wrapText="1"/>
    </xf>
    <xf borderId="3" fillId="0" fontId="1" numFmtId="0" xfId="0" applyAlignment="1" applyBorder="1" applyFont="1">
      <alignment horizontal="center" readingOrder="0" shrinkToFit="0" vertical="center" wrapText="1"/>
    </xf>
    <xf borderId="11" fillId="0" fontId="19" numFmtId="0" xfId="0" applyAlignment="1" applyBorder="1" applyFont="1">
      <alignment horizontal="center" shrinkToFit="0" textRotation="90" vertical="center" wrapText="1"/>
    </xf>
    <xf borderId="7" fillId="10" fontId="1" numFmtId="0" xfId="0" applyBorder="1" applyFill="1" applyFont="1"/>
    <xf borderId="11" fillId="0" fontId="20" numFmtId="0" xfId="0" applyAlignment="1" applyBorder="1" applyFont="1">
      <alignment vertical="center"/>
    </xf>
    <xf borderId="3" fillId="13" fontId="1" numFmtId="0" xfId="0" applyAlignment="1" applyBorder="1" applyFill="1" applyFont="1">
      <alignment horizontal="center" vertical="center"/>
    </xf>
    <xf borderId="3" fillId="0" fontId="1" numFmtId="0" xfId="0" applyAlignment="1" applyBorder="1" applyFont="1">
      <alignment horizontal="left" shrinkToFit="0" vertical="center" wrapText="1"/>
    </xf>
    <xf borderId="11" fillId="0" fontId="21" numFmtId="0" xfId="0" applyAlignment="1" applyBorder="1" applyFont="1">
      <alignment shrinkToFit="0" vertical="center" wrapText="1"/>
    </xf>
    <xf borderId="0" fillId="0" fontId="6" numFmtId="0" xfId="0" applyAlignment="1" applyFont="1">
      <alignment readingOrder="0" shrinkToFit="0" vertical="center" wrapText="1"/>
    </xf>
    <xf borderId="0" fillId="0" fontId="1" numFmtId="0" xfId="0" applyAlignment="1" applyFont="1">
      <alignment shrinkToFit="0" vertical="center" wrapText="1"/>
    </xf>
    <xf borderId="4" fillId="0" fontId="13" numFmtId="0" xfId="0" applyAlignment="1" applyBorder="1" applyFont="1">
      <alignment horizontal="center" textRotation="90" vertical="center"/>
    </xf>
    <xf borderId="0" fillId="0" fontId="18" numFmtId="0" xfId="0" applyAlignment="1" applyFont="1">
      <alignment readingOrder="0" shrinkToFit="0" vertical="center" wrapText="1"/>
    </xf>
    <xf borderId="11" fillId="0" fontId="15" numFmtId="0" xfId="0" applyBorder="1" applyFont="1"/>
    <xf borderId="8" fillId="0" fontId="15" numFmtId="0" xfId="0" applyBorder="1" applyFont="1"/>
    <xf borderId="10" fillId="0" fontId="15" numFmtId="0" xfId="0" applyBorder="1" applyFont="1"/>
    <xf borderId="0" fillId="0" fontId="22" numFmtId="0" xfId="0" applyAlignment="1" applyFont="1">
      <alignment horizontal="center" shrinkToFit="0" vertical="center" wrapText="1"/>
    </xf>
    <xf borderId="0" fillId="0" fontId="1" numFmtId="0" xfId="0" applyAlignment="1" applyFont="1">
      <alignment horizontal="center" vertical="center"/>
    </xf>
    <xf borderId="3" fillId="14" fontId="1" numFmtId="0" xfId="0" applyAlignment="1" applyBorder="1" applyFill="1" applyFont="1">
      <alignment horizontal="center" vertical="center"/>
    </xf>
    <xf borderId="12" fillId="0" fontId="15" numFmtId="0" xfId="0" applyBorder="1" applyFont="1"/>
    <xf borderId="3" fillId="15" fontId="1" numFmtId="0" xfId="0" applyAlignment="1" applyBorder="1" applyFill="1" applyFont="1">
      <alignment horizontal="center" shrinkToFit="0" vertical="center" wrapText="1"/>
    </xf>
    <xf borderId="1" fillId="0" fontId="20" numFmtId="0" xfId="0" applyAlignment="1" applyBorder="1" applyFont="1">
      <alignment shrinkToFit="0" vertical="center" wrapText="1"/>
    </xf>
    <xf borderId="3" fillId="12" fontId="1" numFmtId="0" xfId="0" applyAlignment="1" applyBorder="1" applyFill="1" applyFont="1">
      <alignment shrinkToFit="0" vertical="center" wrapText="1"/>
    </xf>
    <xf borderId="13" fillId="0" fontId="21" numFmtId="0" xfId="0" applyAlignment="1" applyBorder="1" applyFont="1">
      <alignment shrinkToFit="0" vertical="center" wrapText="1"/>
    </xf>
    <xf borderId="14" fillId="2" fontId="23" numFmtId="0" xfId="0" applyAlignment="1" applyBorder="1" applyFill="1" applyFont="1">
      <alignment vertical="center"/>
    </xf>
    <xf borderId="3" fillId="0" fontId="6" numFmtId="0" xfId="0" applyAlignment="1" applyBorder="1" applyFont="1">
      <alignment horizontal="left" readingOrder="0" shrinkToFit="0" vertical="center" wrapText="1"/>
    </xf>
    <xf borderId="0" fillId="0" fontId="1" numFmtId="0" xfId="0" applyAlignment="1" applyFont="1">
      <alignment readingOrder="0" shrinkToFit="0" vertical="center" wrapText="1"/>
    </xf>
    <xf borderId="0" fillId="2" fontId="24" numFmtId="0" xfId="0" applyAlignment="1" applyFill="1" applyFont="1">
      <alignment horizontal="center" shrinkToFit="0" textRotation="90" vertical="center" wrapText="1"/>
    </xf>
    <xf borderId="0" fillId="2" fontId="1" numFmtId="0" xfId="0" applyAlignment="1" applyFill="1" applyFont="1">
      <alignment shrinkToFit="0" vertical="center" wrapText="1"/>
    </xf>
    <xf borderId="0" fillId="2" fontId="1" numFmtId="0" xfId="0" applyAlignment="1" applyFill="1" applyFont="1">
      <alignment horizontal="center"/>
    </xf>
    <xf borderId="3" fillId="16" fontId="1" numFmtId="0" xfId="0" applyAlignment="1" applyBorder="1" applyFill="1" applyFont="1">
      <alignment horizontal="center" shrinkToFit="0" vertical="center" wrapText="1"/>
    </xf>
    <xf borderId="3" fillId="0" fontId="1" numFmtId="0" xfId="0" applyAlignment="1" applyBorder="1" applyFont="1">
      <alignment horizontal="center" vertical="center"/>
    </xf>
    <xf borderId="3" fillId="0" fontId="1" numFmtId="0" xfId="0" applyAlignment="1" applyBorder="1" applyFont="1">
      <alignment horizontal="left" shrinkToFit="0" vertical="bottom" wrapText="1"/>
    </xf>
    <xf borderId="15" fillId="0" fontId="15" numFmtId="0" xfId="0" applyBorder="1" applyFont="1"/>
    <xf borderId="16" fillId="0" fontId="15" numFmtId="0" xfId="0" applyBorder="1" applyFont="1"/>
    <xf borderId="0" fillId="0" fontId="22" numFmtId="0" xfId="0" applyAlignment="1" applyFont="1">
      <alignment horizontal="center" vertical="center"/>
    </xf>
    <xf borderId="3" fillId="10" fontId="1" numFmtId="0" xfId="0" applyAlignment="1" applyBorder="1" applyFill="1" applyFont="1">
      <alignment horizontal="center" vertical="center"/>
    </xf>
    <xf borderId="3" fillId="0" fontId="1" numFmtId="0" xfId="0" applyAlignment="1" applyBorder="1" applyFont="1">
      <alignment vertical="center"/>
    </xf>
    <xf borderId="8" fillId="0" fontId="13" numFmtId="0" xfId="0" applyAlignment="1" applyBorder="1" applyFont="1">
      <alignment horizontal="center" vertical="center"/>
    </xf>
    <xf borderId="0" fillId="0" fontId="13" numFmtId="0" xfId="0" applyAlignment="1" applyFont="1">
      <alignment horizontal="center" vertical="center"/>
    </xf>
    <xf borderId="10" fillId="0" fontId="13" numFmtId="0" xfId="0" applyAlignment="1" applyBorder="1" applyFont="1">
      <alignment horizontal="center" vertical="center"/>
    </xf>
    <xf borderId="1" fillId="0" fontId="20" numFmtId="0" xfId="0" applyAlignment="1" applyBorder="1" applyFont="1">
      <alignment vertical="center"/>
    </xf>
    <xf borderId="3" fillId="10" fontId="1" numFmtId="0" xfId="0" applyBorder="1" applyFill="1" applyFont="1"/>
    <xf borderId="13" fillId="0" fontId="20" numFmtId="0" xfId="0" applyAlignment="1" applyBorder="1" applyFont="1">
      <alignment shrinkToFit="0" vertical="center" wrapText="1"/>
    </xf>
    <xf borderId="3" fillId="0" fontId="1" numFmtId="0" xfId="0" applyBorder="1" applyFont="1"/>
    <xf borderId="0" fillId="0" fontId="25" numFmtId="0" xfId="0" applyAlignment="1" applyFont="1">
      <alignment horizontal="center" vertical="center"/>
    </xf>
    <xf borderId="0" fillId="0" fontId="26" numFmtId="0" xfId="0" applyFont="1"/>
    <xf borderId="3" fillId="9" fontId="1" numFmtId="0" xfId="0" applyAlignment="1" applyBorder="1" applyFill="1" applyFont="1">
      <alignment horizontal="center" vertical="center"/>
    </xf>
    <xf borderId="3" fillId="9" fontId="1" numFmtId="0" xfId="0" applyAlignment="1" applyBorder="1" applyFill="1" applyFont="1">
      <alignment horizontal="center" shrinkToFit="0" vertical="center" wrapText="1"/>
    </xf>
    <xf borderId="1" fillId="0" fontId="21" numFmtId="0" xfId="0" applyAlignment="1" applyBorder="1" applyFont="1">
      <alignment shrinkToFit="0" vertical="center" wrapText="1"/>
    </xf>
    <xf borderId="0" fillId="0" fontId="25" numFmtId="0" xfId="0" applyAlignment="1" applyFont="1">
      <alignment horizontal="center" shrinkToFit="0" vertical="center" wrapText="1"/>
    </xf>
    <xf borderId="0" fillId="0" fontId="13" numFmtId="0" xfId="0" applyFont="1"/>
    <xf borderId="0" fillId="0" fontId="21" numFmtId="0" xfId="0" applyAlignment="1" applyFont="1">
      <alignment horizontal="center" shrinkToFit="0" vertical="center" wrapText="1"/>
    </xf>
    <xf borderId="15" fillId="0" fontId="13" numFmtId="0" xfId="0" applyAlignment="1" applyBorder="1" applyFont="1">
      <alignment horizontal="center" textRotation="90" vertical="center"/>
    </xf>
    <xf borderId="17" fillId="0" fontId="13" numFmtId="0" xfId="0" applyAlignment="1" applyBorder="1" applyFont="1">
      <alignment horizontal="center" textRotation="90" vertical="center"/>
    </xf>
    <xf borderId="16" fillId="0" fontId="13" numFmtId="0" xfId="0" applyAlignment="1" applyBorder="1" applyFont="1">
      <alignment horizontal="center" textRotation="90" vertical="center"/>
    </xf>
    <xf borderId="0" fillId="0" fontId="26" numFmtId="0" xfId="0" applyAlignment="1" applyFont="1">
      <alignment horizontal="center" vertical="center"/>
    </xf>
    <xf borderId="0" fillId="0" fontId="27" numFmtId="0" xfId="0" applyAlignment="1" applyFont="1">
      <alignment horizontal="center" vertical="center"/>
    </xf>
    <xf borderId="13" fillId="0" fontId="21" numFmtId="0" xfId="0" applyAlignment="1" applyBorder="1" applyFont="1">
      <alignment shrinkToFit="0" vertical="top" wrapText="1"/>
    </xf>
    <xf borderId="3" fillId="17" fontId="1" numFmtId="0" xfId="0" applyAlignment="1" applyBorder="1" applyFill="1" applyFont="1">
      <alignment horizontal="center"/>
    </xf>
    <xf borderId="3" fillId="17" fontId="1" numFmtId="0" xfId="0" applyBorder="1" applyFill="1" applyFont="1"/>
    <xf borderId="3" fillId="17" fontId="1" numFmtId="0" xfId="0" applyAlignment="1" applyBorder="1" applyFill="1" applyFont="1">
      <alignment horizontal="center" shrinkToFit="0" wrapText="1"/>
    </xf>
    <xf borderId="0" fillId="0" fontId="1" numFmtId="0" xfId="0" applyAlignment="1" applyFont="1">
      <alignment horizontal="right" vertical="center"/>
    </xf>
    <xf borderId="0" fillId="10" fontId="1" numFmtId="0" xfId="0" applyFill="1" applyFont="1"/>
    <xf borderId="0" fillId="10" fontId="3" numFmtId="0" xfId="0" applyAlignment="1" applyFill="1" applyFont="1">
      <alignment shrinkToFit="0" vertical="center" wrapText="1"/>
    </xf>
    <xf borderId="0" fillId="10" fontId="28" numFmtId="0" xfId="0" applyAlignment="1" applyFill="1" applyFont="1">
      <alignment horizontal="center" vertical="center"/>
    </xf>
    <xf borderId="0" fillId="10" fontId="1" numFmtId="0" xfId="0" applyAlignment="1" applyFill="1" applyFont="1">
      <alignment vertical="center"/>
    </xf>
    <xf borderId="0" fillId="0" fontId="26" numFmtId="0" xfId="0" applyAlignment="1" applyFont="1">
      <alignment horizontal="center"/>
    </xf>
    <xf borderId="0" fillId="0" fontId="26" numFmtId="0" xfId="0" applyAlignment="1" applyFont="1">
      <alignment vertical="center"/>
    </xf>
    <xf borderId="0" fillId="0" fontId="27" numFmtId="0" xfId="0" applyAlignment="1" applyFont="1">
      <alignment horizontal="center" shrinkToFit="0" vertical="center" wrapText="1"/>
    </xf>
    <xf borderId="0" fillId="0" fontId="1" numFmtId="0" xfId="0" applyAlignment="1" applyFont="1">
      <alignment horizontal="right"/>
    </xf>
    <xf borderId="0" fillId="0" fontId="1" numFmtId="0" xfId="0" applyFont="1"/>
    <xf borderId="0" fillId="13" fontId="26" numFmtId="0" xfId="0" applyFill="1" applyFont="1"/>
    <xf borderId="0" fillId="18" fontId="1" numFmtId="0" xfId="0" applyAlignment="1" applyFill="1" applyFont="1">
      <alignment horizontal="right"/>
    </xf>
    <xf borderId="0" fillId="18" fontId="1" numFmtId="0" xfId="0" applyFill="1" applyFont="1"/>
    <xf borderId="13" fillId="2" fontId="23" numFmtId="0" xfId="0" applyAlignment="1" applyBorder="1" applyFill="1" applyFont="1">
      <alignment vertical="center"/>
    </xf>
    <xf borderId="0" fillId="2" fontId="26" numFmtId="0" xfId="0" applyAlignment="1" applyFill="1" applyFont="1">
      <alignment horizontal="center" vertical="center"/>
    </xf>
    <xf borderId="18" fillId="19" fontId="26" numFmtId="0" xfId="0" applyAlignment="1" applyBorder="1" applyFill="1" applyFont="1">
      <alignment horizontal="center" vertical="center"/>
    </xf>
    <xf borderId="0" fillId="2" fontId="1" numFmtId="0" xfId="0" applyAlignment="1" applyFill="1" applyFont="1">
      <alignment horizontal="center" vertical="center"/>
    </xf>
    <xf borderId="18" fillId="9" fontId="1" numFmtId="0" xfId="0" applyBorder="1" applyFill="1" applyFont="1"/>
    <xf borderId="18" fillId="0" fontId="1" numFmtId="0" xfId="0" applyBorder="1" applyFont="1"/>
    <xf borderId="18" fillId="10" fontId="1" numFmtId="0" xfId="0" applyBorder="1" applyFill="1" applyFont="1"/>
    <xf borderId="0" fillId="0" fontId="2" numFmtId="0" xfId="0" applyAlignment="1" applyFont="1">
      <alignment horizontal="center" shrinkToFit="0" vertical="center" wrapText="1"/>
    </xf>
    <xf borderId="0" fillId="0" fontId="5" numFmtId="0" xfId="0" applyAlignment="1" applyFont="1">
      <alignment horizontal="left" shrinkToFit="0" vertical="center" wrapText="1"/>
    </xf>
    <xf borderId="19" fillId="0" fontId="15" numFmtId="0" xfId="0" applyBorder="1" applyFont="1"/>
    <xf borderId="0" fillId="0" fontId="20" numFmtId="0" xfId="0" applyAlignment="1" applyFont="1">
      <alignment horizontal="center" shrinkToFit="0" vertical="center" wrapText="1"/>
    </xf>
    <xf borderId="13" fillId="7" fontId="8" numFmtId="0" xfId="0" applyAlignment="1" applyBorder="1" applyFill="1" applyFont="1">
      <alignment horizontal="center" shrinkToFit="0" vertical="center" wrapText="1"/>
    </xf>
    <xf borderId="13" fillId="0" fontId="20" numFmtId="0" xfId="0" applyAlignment="1" applyBorder="1" applyFont="1">
      <alignment horizontal="center" shrinkToFit="0" vertical="center" wrapText="1"/>
    </xf>
    <xf borderId="13" fillId="20" fontId="20" numFmtId="0" xfId="0" applyAlignment="1" applyBorder="1" applyFill="1" applyFont="1">
      <alignment horizontal="center" shrinkToFit="0" vertical="center" wrapText="1"/>
    </xf>
    <xf borderId="13" fillId="13" fontId="20" numFmtId="0" xfId="0" applyAlignment="1" applyBorder="1" applyFill="1" applyFont="1">
      <alignment horizontal="center" shrinkToFit="0" vertical="center" wrapText="1"/>
    </xf>
    <xf borderId="13" fillId="21" fontId="20" numFmtId="0" xfId="0" applyAlignment="1" applyBorder="1" applyFill="1" applyFont="1">
      <alignment horizontal="center" shrinkToFit="0" vertical="center" wrapText="1"/>
    </xf>
    <xf borderId="0" fillId="0" fontId="8" numFmtId="0" xfId="0" applyAlignment="1" applyFont="1">
      <alignment horizontal="center" shrinkToFit="0" vertical="center" wrapText="1"/>
    </xf>
    <xf borderId="0" fillId="0" fontId="8" numFmtId="0" xfId="0" applyAlignment="1" applyFont="1">
      <alignment horizontal="center" vertical="center"/>
    </xf>
    <xf borderId="0" fillId="0" fontId="1" numFmtId="0" xfId="0" applyAlignment="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8467725</xdr:colOff>
      <xdr:row>1</xdr:row>
      <xdr:rowOff>152400</xdr:rowOff>
    </xdr:from>
    <xdr:ext cx="2400300" cy="733425"/>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95250</xdr:colOff>
      <xdr:row>5</xdr:row>
      <xdr:rowOff>866775</xdr:rowOff>
    </xdr:from>
    <xdr:ext cx="1743075" cy="276225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180975</xdr:colOff>
      <xdr:row>23</xdr:row>
      <xdr:rowOff>390525</xdr:rowOff>
    </xdr:from>
    <xdr:ext cx="7038975" cy="4076700"/>
    <xdr:pic>
      <xdr:nvPicPr>
        <xdr:cNvPr id="0" name="image6.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5248275</xdr:colOff>
      <xdr:row>2</xdr:row>
      <xdr:rowOff>342900</xdr:rowOff>
    </xdr:from>
    <xdr:ext cx="2400300" cy="733425"/>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95250</xdr:colOff>
      <xdr:row>5</xdr:row>
      <xdr:rowOff>866775</xdr:rowOff>
    </xdr:from>
    <xdr:ext cx="1743075" cy="276225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1171575</xdr:colOff>
      <xdr:row>6</xdr:row>
      <xdr:rowOff>200025</xdr:rowOff>
    </xdr:from>
    <xdr:ext cx="1219200" cy="1933575"/>
    <xdr:pic>
      <xdr:nvPicPr>
        <xdr:cNvPr id="0" name="image1.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152400</xdr:colOff>
      <xdr:row>0</xdr:row>
      <xdr:rowOff>104775</xdr:rowOff>
    </xdr:from>
    <xdr:ext cx="933450" cy="285750"/>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438150</xdr:colOff>
      <xdr:row>6</xdr:row>
      <xdr:rowOff>76200</xdr:rowOff>
    </xdr:from>
    <xdr:ext cx="8629650" cy="2790825"/>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3</xdr:row>
      <xdr:rowOff>0</xdr:rowOff>
    </xdr:from>
    <xdr:ext cx="4600575" cy="2238375"/>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2" width="4.0"/>
    <col customWidth="1" min="3" max="3" width="4.63"/>
    <col customWidth="1" min="4" max="4" width="5.25"/>
    <col customWidth="1" min="5" max="5" width="12.13"/>
    <col customWidth="1" min="6" max="6" width="3.38"/>
    <col customWidth="1" min="7" max="7" width="3.88"/>
    <col customWidth="1" min="8" max="8" width="13.5"/>
    <col customWidth="1" min="9" max="9" width="33.88"/>
    <col customWidth="1" min="10" max="10" width="165.88"/>
    <col hidden="1" min="12" max="30" width="12.63"/>
  </cols>
  <sheetData>
    <row r="1" ht="13.5" customHeight="1">
      <c r="A1" s="2"/>
      <c r="B1" s="2"/>
      <c r="C1" s="6"/>
      <c r="D1" s="2"/>
      <c r="E1" s="2"/>
      <c r="F1" s="2"/>
      <c r="G1" s="2"/>
      <c r="H1" s="5"/>
      <c r="I1" s="5"/>
      <c r="J1" s="5"/>
      <c r="K1" s="8"/>
      <c r="L1" s="8"/>
      <c r="M1" s="8"/>
      <c r="N1" s="8"/>
      <c r="O1" s="8"/>
      <c r="P1" s="8"/>
      <c r="Q1" s="8"/>
      <c r="R1" s="8"/>
      <c r="S1" s="8"/>
      <c r="T1" s="8"/>
      <c r="U1" s="8"/>
      <c r="V1" s="8"/>
      <c r="W1" s="8"/>
      <c r="X1" s="8"/>
      <c r="Y1" s="8"/>
      <c r="Z1" s="8"/>
      <c r="AA1" s="8"/>
      <c r="AB1" s="8"/>
      <c r="AC1" s="8"/>
      <c r="AD1" s="8"/>
    </row>
    <row r="2" ht="13.5" customHeight="1">
      <c r="A2" s="2"/>
      <c r="B2" s="6"/>
      <c r="C2" s="6"/>
      <c r="D2" s="6"/>
      <c r="E2" s="6"/>
      <c r="F2" s="6"/>
      <c r="G2" s="6"/>
      <c r="H2" s="6"/>
      <c r="I2" s="6"/>
      <c r="J2" s="6"/>
      <c r="K2" s="8"/>
      <c r="L2" s="1"/>
      <c r="M2" s="1"/>
      <c r="N2" s="1"/>
      <c r="O2" s="1"/>
      <c r="P2" s="1"/>
      <c r="Q2" s="1"/>
      <c r="R2" s="1"/>
      <c r="S2" s="1"/>
      <c r="T2" s="1"/>
      <c r="U2" s="1"/>
      <c r="V2" s="1"/>
      <c r="W2" s="1"/>
      <c r="X2" s="1"/>
      <c r="Y2" s="1"/>
      <c r="Z2" s="1"/>
      <c r="AA2" s="1"/>
      <c r="AB2" s="1"/>
      <c r="AC2" s="1"/>
      <c r="AD2" s="1"/>
    </row>
    <row r="3" ht="66.75" customHeight="1">
      <c r="A3" s="2"/>
      <c r="B3" s="6"/>
      <c r="C3" s="6"/>
      <c r="D3" s="6"/>
      <c r="E3" s="21" t="s">
        <v>21</v>
      </c>
      <c r="K3" s="8"/>
      <c r="L3" s="1"/>
      <c r="M3" s="1"/>
      <c r="N3" s="1"/>
      <c r="O3" s="1"/>
      <c r="P3" s="1"/>
      <c r="Q3" s="1"/>
      <c r="R3" s="1"/>
      <c r="S3" s="1"/>
      <c r="T3" s="1"/>
      <c r="U3" s="1"/>
      <c r="V3" s="1"/>
      <c r="W3" s="1"/>
      <c r="X3" s="1"/>
      <c r="Y3" s="1"/>
      <c r="Z3" s="1"/>
      <c r="AA3" s="1"/>
      <c r="AB3" s="1"/>
      <c r="AC3" s="1"/>
      <c r="AD3" s="1"/>
    </row>
    <row r="4" ht="66.75" customHeight="1">
      <c r="A4" s="2"/>
      <c r="B4" s="2"/>
      <c r="C4" s="6"/>
      <c r="D4" s="6"/>
      <c r="E4" s="14" t="s">
        <v>28</v>
      </c>
      <c r="K4" s="8"/>
      <c r="L4" s="1"/>
      <c r="M4" s="1"/>
      <c r="N4" s="1"/>
      <c r="O4" s="1"/>
      <c r="P4" s="1"/>
      <c r="Q4" s="1"/>
      <c r="R4" s="1"/>
      <c r="S4" s="1"/>
      <c r="T4" s="1"/>
      <c r="U4" s="1"/>
      <c r="V4" s="1"/>
      <c r="W4" s="1"/>
      <c r="X4" s="1"/>
      <c r="Y4" s="1"/>
      <c r="Z4" s="1"/>
      <c r="AA4" s="1"/>
      <c r="AB4" s="1"/>
      <c r="AC4" s="1"/>
      <c r="AD4" s="1"/>
    </row>
    <row r="5" ht="12.0" customHeight="1">
      <c r="A5" s="2"/>
      <c r="B5" s="2"/>
      <c r="C5" s="6"/>
      <c r="D5" s="6"/>
      <c r="E5" s="6"/>
      <c r="F5" s="6"/>
      <c r="G5" s="6"/>
      <c r="H5" s="6"/>
      <c r="I5" s="6"/>
      <c r="J5" s="6"/>
      <c r="K5" s="8"/>
      <c r="L5" s="1"/>
      <c r="M5" s="1"/>
      <c r="N5" s="1"/>
      <c r="O5" s="1"/>
      <c r="P5" s="1"/>
      <c r="Q5" s="1"/>
      <c r="R5" s="1"/>
      <c r="S5" s="1"/>
      <c r="T5" s="1"/>
      <c r="U5" s="1"/>
      <c r="V5" s="1"/>
      <c r="W5" s="1"/>
      <c r="X5" s="1"/>
      <c r="Y5" s="1"/>
      <c r="Z5" s="1"/>
      <c r="AA5" s="1"/>
      <c r="AB5" s="1"/>
      <c r="AC5" s="1"/>
      <c r="AD5" s="1"/>
    </row>
    <row r="6" ht="85.5" customHeight="1">
      <c r="A6" s="2"/>
      <c r="B6" s="2"/>
      <c r="C6" s="22" t="s">
        <v>24</v>
      </c>
      <c r="D6" s="24"/>
      <c r="E6" s="24"/>
      <c r="F6" s="26"/>
      <c r="G6" s="2"/>
      <c r="H6" s="12"/>
      <c r="I6" s="16" t="s">
        <v>32</v>
      </c>
      <c r="J6" s="31" t="s">
        <v>34</v>
      </c>
      <c r="K6" s="8"/>
      <c r="L6" s="1"/>
      <c r="M6" s="1"/>
      <c r="N6" s="1"/>
      <c r="O6" s="1"/>
      <c r="P6" s="1"/>
      <c r="Q6" s="1"/>
      <c r="R6" s="1"/>
      <c r="S6" s="1"/>
      <c r="T6" s="1"/>
      <c r="U6" s="1"/>
      <c r="V6" s="1"/>
      <c r="W6" s="1"/>
      <c r="X6" s="1"/>
      <c r="Y6" s="1"/>
      <c r="Z6" s="1"/>
      <c r="AA6" s="1"/>
      <c r="AB6" s="1"/>
      <c r="AC6" s="1"/>
      <c r="AD6" s="1"/>
    </row>
    <row r="7" ht="23.25" customHeight="1">
      <c r="A7" s="20"/>
      <c r="B7" s="20"/>
      <c r="C7" s="35"/>
      <c r="D7" s="37"/>
      <c r="E7" s="37"/>
      <c r="F7" s="38"/>
      <c r="G7" s="20"/>
      <c r="H7" s="43" t="s">
        <v>58</v>
      </c>
      <c r="I7" s="45" t="s">
        <v>59</v>
      </c>
      <c r="J7" s="48" t="s">
        <v>62</v>
      </c>
      <c r="K7" s="33"/>
    </row>
    <row r="8" ht="120.0" customHeight="1">
      <c r="A8" s="20"/>
      <c r="B8" s="20"/>
      <c r="C8" s="35"/>
      <c r="D8" s="51"/>
      <c r="E8" s="26"/>
      <c r="F8" s="38"/>
      <c r="G8" s="20"/>
      <c r="H8" s="53"/>
      <c r="I8" s="53"/>
      <c r="J8" s="59"/>
      <c r="K8" s="33"/>
    </row>
    <row r="9">
      <c r="A9" s="20"/>
      <c r="B9" s="20"/>
      <c r="C9" s="35"/>
      <c r="D9" s="54"/>
      <c r="E9" s="55"/>
      <c r="F9" s="38"/>
      <c r="G9" s="20"/>
      <c r="H9" s="53"/>
      <c r="I9" s="53"/>
      <c r="J9" s="63" t="s">
        <v>70</v>
      </c>
      <c r="K9" s="33"/>
    </row>
    <row r="10">
      <c r="A10" s="20"/>
      <c r="B10" s="20"/>
      <c r="C10" s="35"/>
      <c r="D10" s="54"/>
      <c r="E10" s="55"/>
      <c r="F10" s="38"/>
      <c r="G10" s="20"/>
      <c r="H10" s="53"/>
      <c r="I10" s="59"/>
      <c r="J10" s="63" t="s">
        <v>74</v>
      </c>
      <c r="K10" s="33"/>
    </row>
    <row r="11">
      <c r="A11" s="20"/>
      <c r="B11" s="20"/>
      <c r="C11" s="35"/>
      <c r="D11" s="54"/>
      <c r="E11" s="55"/>
      <c r="F11" s="38"/>
      <c r="G11" s="20"/>
      <c r="H11" s="53"/>
      <c r="I11" s="61" t="s">
        <v>68</v>
      </c>
      <c r="J11" s="63" t="s">
        <v>77</v>
      </c>
      <c r="K11" s="33"/>
    </row>
    <row r="12" ht="15.75" customHeight="1">
      <c r="A12" s="20"/>
      <c r="B12" s="20"/>
      <c r="C12" s="35"/>
      <c r="D12" s="54"/>
      <c r="E12" s="55"/>
      <c r="F12" s="38"/>
      <c r="G12" s="20"/>
      <c r="H12" s="53"/>
      <c r="I12" s="53"/>
      <c r="J12" s="63" t="s">
        <v>81</v>
      </c>
      <c r="K12" s="33"/>
    </row>
    <row r="13" ht="126.75" customHeight="1">
      <c r="A13" s="20"/>
      <c r="B13" s="20"/>
      <c r="C13" s="35"/>
      <c r="D13" s="54"/>
      <c r="E13" s="55"/>
      <c r="F13" s="38"/>
      <c r="G13" s="20"/>
      <c r="H13" s="53"/>
      <c r="I13" s="59"/>
      <c r="J13" s="63" t="s">
        <v>84</v>
      </c>
      <c r="K13" s="33"/>
    </row>
    <row r="14" ht="15.75" customHeight="1">
      <c r="A14" s="20"/>
      <c r="B14" s="20"/>
      <c r="C14" s="35"/>
      <c r="D14" s="73"/>
      <c r="E14" s="74"/>
      <c r="F14" s="38"/>
      <c r="G14" s="20"/>
      <c r="H14" s="53"/>
      <c r="I14" s="61" t="s">
        <v>86</v>
      </c>
      <c r="J14" s="63" t="s">
        <v>90</v>
      </c>
      <c r="K14" s="33"/>
    </row>
    <row r="15" ht="15.75" customHeight="1">
      <c r="A15" s="20"/>
      <c r="B15" s="20"/>
      <c r="C15" s="78"/>
      <c r="D15" s="79"/>
      <c r="E15" s="79"/>
      <c r="F15" s="80"/>
      <c r="G15" s="20"/>
      <c r="H15" s="53"/>
      <c r="I15" s="59"/>
      <c r="J15" s="63" t="s">
        <v>97</v>
      </c>
      <c r="K15" s="33"/>
    </row>
    <row r="16" ht="15.75" customHeight="1">
      <c r="A16" s="20"/>
      <c r="B16" s="20"/>
      <c r="C16" s="78"/>
      <c r="D16" s="79"/>
      <c r="E16" s="79"/>
      <c r="F16" s="80"/>
      <c r="G16" s="20"/>
      <c r="H16" s="53"/>
      <c r="I16" s="81" t="s">
        <v>101</v>
      </c>
      <c r="J16" s="63" t="s">
        <v>103</v>
      </c>
      <c r="K16" s="33"/>
    </row>
    <row r="17" ht="15.75" customHeight="1">
      <c r="A17" s="20"/>
      <c r="B17" s="20"/>
      <c r="C17" s="78"/>
      <c r="D17" s="85" t="s">
        <v>104</v>
      </c>
      <c r="F17" s="80"/>
      <c r="G17" s="20"/>
      <c r="H17" s="53"/>
      <c r="I17" s="53"/>
      <c r="J17" s="63" t="s">
        <v>106</v>
      </c>
      <c r="K17" s="33"/>
    </row>
    <row r="18" ht="15.75" customHeight="1">
      <c r="A18" s="20"/>
      <c r="B18" s="20"/>
      <c r="C18" s="78"/>
      <c r="D18" s="85" t="s">
        <v>108</v>
      </c>
      <c r="F18" s="80"/>
      <c r="G18" s="20"/>
      <c r="H18" s="53"/>
      <c r="I18" s="53"/>
      <c r="J18" s="63" t="s">
        <v>111</v>
      </c>
      <c r="K18" s="33"/>
    </row>
    <row r="19" ht="15.75" customHeight="1">
      <c r="A19" s="20"/>
      <c r="B19" s="20"/>
      <c r="C19" s="78"/>
      <c r="D19" s="85" t="s">
        <v>112</v>
      </c>
      <c r="F19" s="80"/>
      <c r="G19" s="20"/>
      <c r="H19" s="59"/>
      <c r="I19" s="59"/>
      <c r="J19" s="63" t="s">
        <v>114</v>
      </c>
      <c r="K19" s="33"/>
    </row>
    <row r="20" ht="15.75" customHeight="1">
      <c r="A20" s="20"/>
      <c r="B20" s="20"/>
      <c r="C20" s="78"/>
      <c r="D20" s="85" t="s">
        <v>116</v>
      </c>
      <c r="F20" s="80"/>
      <c r="G20" s="20"/>
      <c r="H20" s="43" t="s">
        <v>117</v>
      </c>
      <c r="I20" s="81" t="s">
        <v>118</v>
      </c>
      <c r="J20" s="63" t="s">
        <v>119</v>
      </c>
      <c r="K20" s="33"/>
    </row>
    <row r="21" ht="15.75" customHeight="1">
      <c r="A21" s="20"/>
      <c r="B21" s="20"/>
      <c r="C21" s="78"/>
      <c r="D21" s="85"/>
      <c r="F21" s="80"/>
      <c r="G21" s="20"/>
      <c r="H21" s="53"/>
      <c r="I21" s="53"/>
      <c r="J21" s="63" t="s">
        <v>120</v>
      </c>
      <c r="K21" s="33"/>
    </row>
    <row r="22" ht="15.75" customHeight="1">
      <c r="A22" s="20"/>
      <c r="B22" s="20"/>
      <c r="C22" s="78"/>
      <c r="D22" s="90" t="s">
        <v>121</v>
      </c>
      <c r="F22" s="80"/>
      <c r="G22" s="20"/>
      <c r="H22" s="53"/>
      <c r="I22" s="59"/>
      <c r="J22" s="91" t="s">
        <v>122</v>
      </c>
      <c r="K22" s="33"/>
    </row>
    <row r="23" ht="15.75" customHeight="1">
      <c r="A23" s="20"/>
      <c r="B23" s="20"/>
      <c r="C23" s="78"/>
      <c r="D23" s="90"/>
      <c r="F23" s="80"/>
      <c r="G23" s="20"/>
      <c r="H23" s="53"/>
      <c r="I23" s="81" t="s">
        <v>123</v>
      </c>
      <c r="J23" s="63" t="s">
        <v>124</v>
      </c>
      <c r="K23" s="33"/>
    </row>
    <row r="24" ht="444.75" customHeight="1">
      <c r="A24" s="20"/>
      <c r="B24" s="20"/>
      <c r="C24" s="93"/>
      <c r="D24" s="94"/>
      <c r="E24" s="94"/>
      <c r="F24" s="95"/>
      <c r="G24" s="20"/>
      <c r="H24" s="59"/>
      <c r="I24" s="59"/>
      <c r="J24" s="98" t="s">
        <v>126</v>
      </c>
      <c r="K24" s="33"/>
    </row>
    <row r="25" ht="51.0" customHeight="1">
      <c r="A25" s="20"/>
      <c r="B25" s="20"/>
      <c r="C25" s="20"/>
      <c r="D25" s="20"/>
      <c r="E25" s="20"/>
      <c r="F25" s="20"/>
      <c r="G25" s="20"/>
      <c r="H25" s="67"/>
      <c r="I25" s="8"/>
      <c r="J25" s="68"/>
      <c r="K25" s="33"/>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I11:I13"/>
    <mergeCell ref="I14:I15"/>
    <mergeCell ref="H20:H24"/>
    <mergeCell ref="I20:I22"/>
    <mergeCell ref="I23:I24"/>
    <mergeCell ref="D8:E14"/>
    <mergeCell ref="D17:E17"/>
    <mergeCell ref="D18:E18"/>
    <mergeCell ref="D19:E19"/>
    <mergeCell ref="D20:E20"/>
    <mergeCell ref="D21:E21"/>
    <mergeCell ref="D22:E22"/>
    <mergeCell ref="D23:E23"/>
    <mergeCell ref="E3:J3"/>
    <mergeCell ref="E4:J4"/>
    <mergeCell ref="C6:F6"/>
    <mergeCell ref="H7:H19"/>
    <mergeCell ref="I7:I10"/>
    <mergeCell ref="J7:J8"/>
    <mergeCell ref="I16:I19"/>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2" width="4.0"/>
    <col customWidth="1" min="3" max="3" width="4.63"/>
    <col customWidth="1" min="4" max="5" width="16.88"/>
    <col customWidth="1" min="6" max="6" width="3.38"/>
    <col customWidth="1" min="7" max="7" width="3.88"/>
    <col customWidth="1" min="8" max="8" width="13.5"/>
    <col customWidth="1" min="9" max="9" width="33.88"/>
    <col customWidth="1" min="10" max="10" width="112.0"/>
    <col customWidth="1" min="11" max="11" width="8.75"/>
    <col hidden="1" min="12" max="31" width="12.63"/>
  </cols>
  <sheetData>
    <row r="1" ht="13.5" customHeight="1">
      <c r="A1" s="2"/>
      <c r="B1" s="2"/>
      <c r="C1" s="2"/>
      <c r="D1" s="2"/>
      <c r="E1" s="2"/>
      <c r="F1" s="2"/>
      <c r="G1" s="2"/>
      <c r="H1" s="5"/>
      <c r="I1" s="5"/>
      <c r="J1" s="5"/>
      <c r="K1" s="8"/>
      <c r="L1" s="8"/>
      <c r="M1" s="8"/>
      <c r="N1" s="8"/>
      <c r="O1" s="8"/>
      <c r="P1" s="8"/>
      <c r="Q1" s="8"/>
      <c r="R1" s="8"/>
      <c r="S1" s="8"/>
      <c r="T1" s="8"/>
      <c r="U1" s="8"/>
      <c r="V1" s="8"/>
      <c r="W1" s="8"/>
      <c r="X1" s="8"/>
      <c r="Y1" s="8"/>
      <c r="Z1" s="8"/>
      <c r="AA1" s="8"/>
      <c r="AB1" s="8"/>
      <c r="AC1" s="8"/>
      <c r="AD1" s="8"/>
      <c r="AE1" s="8"/>
    </row>
    <row r="2" ht="13.5" customHeight="1">
      <c r="A2" s="2"/>
      <c r="B2" s="2"/>
      <c r="C2" s="6"/>
      <c r="D2" s="6"/>
      <c r="E2" s="6"/>
      <c r="F2" s="6"/>
      <c r="G2" s="6"/>
      <c r="H2" s="6"/>
      <c r="I2" s="6"/>
      <c r="J2" s="6"/>
      <c r="K2" s="8"/>
      <c r="L2" s="1"/>
      <c r="M2" s="1"/>
      <c r="N2" s="1"/>
      <c r="O2" s="1"/>
      <c r="P2" s="1"/>
      <c r="Q2" s="1"/>
      <c r="R2" s="1"/>
      <c r="S2" s="1"/>
      <c r="T2" s="1"/>
      <c r="U2" s="1"/>
      <c r="V2" s="1"/>
      <c r="W2" s="1"/>
      <c r="X2" s="1"/>
      <c r="Y2" s="1"/>
      <c r="Z2" s="1"/>
      <c r="AA2" s="1"/>
      <c r="AB2" s="1"/>
      <c r="AC2" s="1"/>
      <c r="AD2" s="1"/>
      <c r="AE2" s="1"/>
    </row>
    <row r="3" ht="66.75" customHeight="1">
      <c r="A3" s="2"/>
      <c r="B3" s="2"/>
      <c r="C3" s="6"/>
      <c r="D3" s="6"/>
      <c r="E3" s="6" t="s">
        <v>10</v>
      </c>
      <c r="K3" s="8"/>
      <c r="L3" s="1"/>
      <c r="M3" s="1"/>
      <c r="N3" s="1"/>
      <c r="O3" s="1"/>
      <c r="P3" s="1"/>
      <c r="Q3" s="1"/>
      <c r="R3" s="1"/>
      <c r="S3" s="1"/>
      <c r="T3" s="1"/>
      <c r="U3" s="1"/>
      <c r="V3" s="1"/>
      <c r="W3" s="1"/>
      <c r="X3" s="1"/>
      <c r="Y3" s="1"/>
      <c r="Z3" s="1"/>
      <c r="AA3" s="1"/>
      <c r="AB3" s="1"/>
      <c r="AC3" s="1"/>
      <c r="AD3" s="1"/>
      <c r="AE3" s="1"/>
    </row>
    <row r="4" ht="42.0" customHeight="1">
      <c r="A4" s="2"/>
      <c r="B4" s="2"/>
      <c r="C4" s="6"/>
      <c r="D4" s="6"/>
      <c r="E4" s="14" t="s">
        <v>12</v>
      </c>
      <c r="K4" s="8"/>
      <c r="L4" s="1"/>
      <c r="M4" s="1"/>
      <c r="N4" s="1"/>
      <c r="O4" s="1"/>
      <c r="P4" s="1"/>
      <c r="Q4" s="1"/>
      <c r="R4" s="1"/>
      <c r="S4" s="1"/>
      <c r="T4" s="1"/>
      <c r="U4" s="1"/>
      <c r="V4" s="1"/>
      <c r="W4" s="1"/>
      <c r="X4" s="1"/>
      <c r="Y4" s="1"/>
      <c r="Z4" s="1"/>
      <c r="AA4" s="1"/>
      <c r="AB4" s="1"/>
      <c r="AC4" s="1"/>
      <c r="AD4" s="1"/>
      <c r="AE4" s="1"/>
    </row>
    <row r="5" ht="12.0" customHeight="1">
      <c r="A5" s="2"/>
      <c r="B5" s="2"/>
      <c r="C5" s="6"/>
      <c r="D5" s="6"/>
      <c r="E5" s="6"/>
      <c r="F5" s="6"/>
      <c r="G5" s="6"/>
      <c r="H5" s="6"/>
      <c r="I5" s="6"/>
      <c r="J5" s="6"/>
      <c r="K5" s="8"/>
      <c r="L5" s="1"/>
      <c r="M5" s="1"/>
      <c r="N5" s="1"/>
      <c r="O5" s="1"/>
      <c r="P5" s="1"/>
      <c r="Q5" s="1"/>
      <c r="R5" s="1"/>
      <c r="S5" s="1"/>
      <c r="T5" s="1"/>
      <c r="U5" s="1"/>
      <c r="V5" s="1"/>
      <c r="W5" s="1"/>
      <c r="X5" s="1"/>
      <c r="Y5" s="1"/>
      <c r="Z5" s="1"/>
      <c r="AA5" s="1"/>
      <c r="AB5" s="1"/>
      <c r="AC5" s="1"/>
      <c r="AD5" s="1"/>
      <c r="AE5" s="1"/>
    </row>
    <row r="6" ht="85.5" customHeight="1">
      <c r="A6" s="2"/>
      <c r="B6" s="2"/>
      <c r="C6" s="22" t="s">
        <v>24</v>
      </c>
      <c r="D6" s="24"/>
      <c r="E6" s="24"/>
      <c r="F6" s="26"/>
      <c r="G6" s="2"/>
      <c r="H6" s="12" t="s">
        <v>29</v>
      </c>
      <c r="I6" s="16" t="s">
        <v>32</v>
      </c>
      <c r="J6" s="31" t="s">
        <v>34</v>
      </c>
      <c r="K6" s="8"/>
      <c r="L6" s="1"/>
      <c r="M6" s="1"/>
      <c r="N6" s="1"/>
      <c r="O6" s="1"/>
      <c r="P6" s="1"/>
      <c r="Q6" s="1"/>
      <c r="R6" s="1"/>
      <c r="S6" s="1"/>
      <c r="T6" s="1"/>
      <c r="U6" s="1"/>
      <c r="V6" s="1"/>
      <c r="W6" s="1"/>
      <c r="X6" s="1"/>
      <c r="Y6" s="1"/>
      <c r="Z6" s="1"/>
      <c r="AA6" s="1"/>
      <c r="AB6" s="1"/>
      <c r="AC6" s="1"/>
      <c r="AD6" s="1"/>
      <c r="AE6" s="1"/>
    </row>
    <row r="7" ht="23.25" customHeight="1">
      <c r="A7" s="20"/>
      <c r="B7" s="20"/>
      <c r="C7" s="35"/>
      <c r="D7" s="37"/>
      <c r="E7" s="37"/>
      <c r="F7" s="38"/>
      <c r="G7" s="20"/>
      <c r="H7" s="43" t="s">
        <v>51</v>
      </c>
      <c r="I7" s="45" t="s">
        <v>54</v>
      </c>
      <c r="J7" s="48" t="s">
        <v>56</v>
      </c>
      <c r="K7" s="33"/>
    </row>
    <row r="8" ht="15.75" customHeight="1">
      <c r="A8" s="20"/>
      <c r="B8" s="20"/>
      <c r="C8" s="35"/>
      <c r="D8" s="51"/>
      <c r="E8" s="26"/>
      <c r="F8" s="38"/>
      <c r="G8" s="20"/>
      <c r="H8" s="53"/>
      <c r="I8" s="53"/>
      <c r="J8" s="53"/>
      <c r="K8" s="33"/>
    </row>
    <row r="9" ht="15.75" customHeight="1">
      <c r="A9" s="20"/>
      <c r="B9" s="20"/>
      <c r="C9" s="35"/>
      <c r="D9" s="54"/>
      <c r="E9" s="55"/>
      <c r="F9" s="38"/>
      <c r="G9" s="20"/>
      <c r="H9" s="53"/>
      <c r="I9" s="53"/>
      <c r="J9" s="53"/>
      <c r="K9" s="33"/>
    </row>
    <row r="10" ht="225.0" customHeight="1">
      <c r="A10" s="20"/>
      <c r="B10" s="20"/>
      <c r="C10" s="35"/>
      <c r="D10" s="54"/>
      <c r="E10" s="55"/>
      <c r="F10" s="38"/>
      <c r="G10" s="20"/>
      <c r="H10" s="53"/>
      <c r="I10" s="59"/>
      <c r="J10" s="59"/>
      <c r="K10" s="33"/>
    </row>
    <row r="11" ht="15.75" customHeight="1">
      <c r="A11" s="20"/>
      <c r="B11" s="20"/>
      <c r="C11" s="35"/>
      <c r="D11" s="54"/>
      <c r="E11" s="55"/>
      <c r="F11" s="38"/>
      <c r="G11" s="20"/>
      <c r="H11" s="53"/>
      <c r="I11" s="61" t="s">
        <v>68</v>
      </c>
      <c r="J11" s="48" t="str">
        <f>CONCAT('Def Necesidad'!J11,'Def Necesidad'!J13)</f>
        <v>¿Qué requiere el cliente para cubrir la necesidad que tiene?
Pricing: el cliente final quiere obtener una tasa acorde a su perfil, el vehículo que va a comprar y las condiciones de su crédito. Para ello, se requiere incorporar las variables:  de Grupo de Pago de Comisión de Concesionarios, Tipo de Canal (CSF y RED), Tipo de Combustión (Fósil y híbrido y Eléctrico), Tipo de Garantía (Prenda y No prenda) , Tipo de Vehículo (Nuevo y Usado) , LTV (% Financiación), destino (adquisición, compra de cartera) y un pricing para las ofertas de Preaprobados (precios preferenciales). Para tasa fija y tasa variable
RVD: para los clientes internos (producto y los stakeholders), es necesario disponer de un Repositorio de Ventas Digitales (RVD) que centralice la información y permita generar métricas, seguimiento y análisis del desempeño comercial del canal Vehículo WEB, con el fin de Fortalecer las capacidades analíticas y de monitoreo para la toma de decisiones basadas en datos y optimizar continuamente el riskok, la estrategia comercial y de rentabilidad del producto.Que busca este usuario de un banco o de un producto para cumplir con su proyecto vital
Como cliente interno del banco, se busca contar con herramientas y capacidades que permitan ofrecer productos más rentables, competitivos y personalizados, alineados con las necesidades del mercado y la estrategia comercial de la organización.
Adicionalmente, se requiere disponer de modelos analíticos más robustos, información centralizada y métricas oportunas que faciliten la toma de decisiones, el seguimiento del desempeño comercial y la optimización continua de la oferta de valor del producto Vehículo. Todo esto con el fin de mejorar la eficiencia del negocio y generar una mejor experiencia para el cliente final.</v>
      </c>
      <c r="K11" s="33"/>
    </row>
    <row r="12" ht="15.75" customHeight="1">
      <c r="A12" s="20"/>
      <c r="B12" s="20"/>
      <c r="C12" s="35"/>
      <c r="D12" s="54"/>
      <c r="E12" s="55"/>
      <c r="F12" s="38"/>
      <c r="G12" s="20"/>
      <c r="H12" s="53"/>
      <c r="I12" s="53"/>
      <c r="J12" s="53"/>
      <c r="K12" s="33"/>
    </row>
    <row r="13" ht="178.5" customHeight="1">
      <c r="A13" s="20"/>
      <c r="B13" s="20"/>
      <c r="C13" s="35"/>
      <c r="D13" s="54"/>
      <c r="E13" s="55"/>
      <c r="F13" s="38"/>
      <c r="G13" s="20"/>
      <c r="H13" s="53"/>
      <c r="I13" s="59"/>
      <c r="J13" s="59"/>
      <c r="K13" s="33"/>
    </row>
    <row r="14" ht="66.75" customHeight="1">
      <c r="A14" s="20"/>
      <c r="B14" s="20"/>
      <c r="C14" s="35"/>
      <c r="D14" s="73"/>
      <c r="E14" s="74"/>
      <c r="F14" s="38"/>
      <c r="G14" s="20"/>
      <c r="H14" s="53"/>
      <c r="I14" s="83" t="s">
        <v>102</v>
      </c>
      <c r="J14" s="63" t="str">
        <f>CONCAT('Def Necesidad'!J14,'Def Necesidad'!J15)</f>
        <v>¿Qué le impide al cliente poder seguir evolucionando su proyecto?
Como cliente interno, uno de los principales impedimentos para continuar evolucionando el proyecto es contar con un modelo de pricing limitado en variables y capacidades analíticas, lo que restringe la posibilidad de realizar una segmentación más precisa y de ofrecer condiciones comerciales más competitivas y rentables.
Adicionalmente, la falta de centralización y disponibilidad de métricas consolidadas del canal digital dificulta el seguimiento oportuno del desempeño comercial, la identificación de oportunidades de mejora y la toma de decisiones basadas en datos.
También existen retos asociados a la integración de fuentes de información, evolución tecnológica y adaptación de los modelos actuales para soportar nuevas variables y capacidades analíticas que permitan fortalecer la estrategia digital y la experiencia del cliente final.¿Qué dudas le ha surgido inicialmente?
Como cliente interno, inicialmente han surgido dudas relacionadas con la viabilidad técnica y funcional de incorporar las nuevas variables dentro del modelo de Pricing Avanzado, así como el impacto que estas puedan tener en los procesos actuales, la rentabilidad del producto y la experiencia del cliente.
También existen inquietudes frente a la disponibilidad, calidad y consistencia de la información requerida para alimentar el modelo, la integración entre las diferentes fuentes de datos y los tiempos necesarios para implementar los ajustes tecnológicos y analíticos.
</v>
      </c>
      <c r="K14" s="33"/>
    </row>
    <row r="15" ht="15.75" customHeight="1">
      <c r="A15" s="20"/>
      <c r="B15" s="20"/>
      <c r="C15" s="78"/>
      <c r="D15" s="79"/>
      <c r="E15" s="79"/>
      <c r="F15" s="80"/>
      <c r="G15" s="20"/>
      <c r="H15" s="53"/>
      <c r="I15" s="81" t="s">
        <v>101</v>
      </c>
      <c r="J15" s="89" t="str">
        <f>CONCAT('Def Necesidad'!J16,'Def Necesidad'!J19)</f>
        <v>¿Cómo te imaginas el producto o el servicio que resolverá la necesidad?
El servicio ideal debe permitir una integración ágil con las diferentes fuentes de información del banco NÁCAR, CAP, Vehículo Web, garantizando disponibilidad, calidad y trazabilidad de los datos utilizados en el modelo. Asimismo, se espera que la solución tenga capacidad de escalabilidad y flexibilidad para incorporar nuevas variables o ajustes futuros de manera eficiente (dejar paramétrico).
Adicionalmente, se visualiza un Repositorio de Ventas Digitales (RVD) centralizado que permita consolidar información del canal Vehículo WEB, generando métricas, reportes y capacidades analíticas para monitorear el desempeño comercial, apoyar la toma de decisiones y optimizar continuamente la estrategia digital y de rentabilidad del producto.¿Existe alguna restricción tecnologica, de ley o normativa que afecte el realizar la idea para satisfacer al cliente?
Desde el punto de vista tecnológico, pueden existir restricciones asociadas a capacidades de integración entre sistemas, tiempos de procesamiento, arquitectura de las aplicaciones actuales y compatibilidad con las plataformas donde opera Vehículo y el Repositorio de Ventas Digitales (RVD), esto debe ser valorado por los equipos correspondientes.
Importante resaltar que cualquier ajuste al modelo de pricing debe cumplir con las políticas internas de riesgo, rentabilidad y gobierno de modelos analíticos establecidas por el banco.</v>
      </c>
      <c r="K15" s="33"/>
    </row>
    <row r="16" ht="15.75" customHeight="1">
      <c r="A16" s="20"/>
      <c r="B16" s="20"/>
      <c r="C16" s="78"/>
      <c r="D16" s="92" t="str">
        <f>'Def Necesidad'!D17</f>
        <v>¿Qué edad tiene?</v>
      </c>
      <c r="F16" s="80"/>
      <c r="G16" s="20"/>
      <c r="H16" s="53"/>
      <c r="I16" s="53"/>
      <c r="J16" s="53"/>
      <c r="K16" s="33"/>
    </row>
    <row r="17" ht="15.75" customHeight="1">
      <c r="A17" s="20"/>
      <c r="B17" s="20"/>
      <c r="C17" s="78"/>
      <c r="D17" s="97" t="str">
        <f>'Def Necesidad'!D18</f>
        <v>¿Dónde vive?</v>
      </c>
      <c r="F17" s="80"/>
      <c r="G17" s="20"/>
      <c r="H17" s="53"/>
      <c r="I17" s="53"/>
      <c r="J17" s="53"/>
      <c r="K17" s="33"/>
    </row>
    <row r="18" ht="15.75" customHeight="1">
      <c r="A18" s="20"/>
      <c r="B18" s="20"/>
      <c r="C18" s="78"/>
      <c r="D18" s="97" t="str">
        <f>'Def Necesidad'!D19</f>
        <v>¿Tiene alguna profesión u oficio?</v>
      </c>
      <c r="F18" s="80"/>
      <c r="G18" s="20"/>
      <c r="H18" s="59"/>
      <c r="I18" s="59"/>
      <c r="J18" s="59"/>
      <c r="K18" s="33"/>
    </row>
    <row r="19" ht="15.75" customHeight="1">
      <c r="A19" s="20"/>
      <c r="B19" s="20"/>
      <c r="C19" s="78"/>
      <c r="D19" s="97" t="str">
        <f>'Def Necesidad'!D20</f>
        <v>¿Qué estado civil tiene?</v>
      </c>
      <c r="F19" s="80"/>
      <c r="G19" s="20"/>
      <c r="H19" s="43" t="s">
        <v>129</v>
      </c>
      <c r="I19" s="81" t="s">
        <v>118</v>
      </c>
      <c r="J19" s="89" t="str">
        <f>CONCAT('Def Necesidad'!J20,'Def Necesidad'!J23)</f>
        <v>¿Cómo beneficia esta idea o solución a BBVA?
La iniciativa beneficia a BBVA al fortalecer el modelo de Pricing Avanzado de Vehículo en tasa fija y variable , permitiendo una mejor segmentación y personalización de las ofertas comerciales mediante la incorporación de nuevas variables analíticas. Esto contribuye a optimizar la rentabilidad del producto, mejorar la competitividad en el mercado y aumentar la eficiencia en la toma de decisiones comerciales.
Adicionalmente, la implementación del Repositorio de Ventas Digitales (RVD) permitirá contar con métricas consolidadas, trazabilidad y capacidades analíticas sobre el desempeño del canal digital, facilitando el monitoreo, seguimiento y optimización continua de la estrategia comercial.
La solución también impulsa la transformación digital del banco, fortalece las capacidades de analítica avanzada y mejora la experiencia del cliente final al ofrecer procesos y condiciones más alineadas a sus necesidades y perfil.¿Cuáles son los principales indicadores que moverán los indicadores estratégicos de BBVA?
Rentabilidad
Rentabilidad del producto Vehículo : mediante una mejor definición de condiciones comerciales y una segmentación más precisa del pricing.
Capacidad de segmentación y personalización: incorporando nuevas variables que permitan mejorar la precisión del modelo
Eficiencia comercial y analítica: gracias al uso de información más robusta y métricas consolidadas para la toma de decisiones.
Monitoreo y trazabilidad del desempeño digital: mediante el Repositorio de Ventas Digitales (RVD), facilitando el seguimiento de indicadores comerciales y operativos.
</v>
      </c>
      <c r="K19" s="33"/>
    </row>
    <row r="20" ht="15.75" customHeight="1">
      <c r="A20" s="20"/>
      <c r="B20" s="20"/>
      <c r="C20" s="78"/>
      <c r="D20" s="97"/>
      <c r="F20" s="80"/>
      <c r="G20" s="20"/>
      <c r="H20" s="53"/>
      <c r="I20" s="53"/>
      <c r="J20" s="53"/>
      <c r="K20" s="33"/>
    </row>
    <row r="21" ht="15.75" customHeight="1">
      <c r="A21" s="20"/>
      <c r="B21" s="20"/>
      <c r="C21" s="78"/>
      <c r="D21" s="109" t="str">
        <f>'Def Necesidad'!D22</f>
        <v>¿cúal es el segmento que representa el cliente?</v>
      </c>
      <c r="F21" s="80"/>
      <c r="G21" s="20"/>
      <c r="H21" s="53"/>
      <c r="I21" s="59"/>
      <c r="J21" s="59"/>
      <c r="K21" s="33"/>
    </row>
    <row r="22" ht="15.75" customHeight="1">
      <c r="A22" s="20"/>
      <c r="B22" s="20"/>
      <c r="C22" s="78"/>
      <c r="D22" s="90"/>
      <c r="F22" s="80"/>
      <c r="G22" s="20"/>
      <c r="H22" s="53"/>
      <c r="I22" s="81" t="s">
        <v>123</v>
      </c>
      <c r="J22" s="89" t="str">
        <f>CONCAT(#REF!,'Def Necesidad'!J24)</f>
        <v>#REF!</v>
      </c>
      <c r="K22" s="115" t="s">
        <v>71</v>
      </c>
    </row>
    <row r="23" ht="15.75" customHeight="1">
      <c r="A23" s="20"/>
      <c r="B23" s="20"/>
      <c r="C23" s="93"/>
      <c r="D23" s="94"/>
      <c r="E23" s="94"/>
      <c r="F23" s="95"/>
      <c r="G23" s="20"/>
      <c r="H23" s="59"/>
      <c r="I23" s="59"/>
      <c r="J23" s="59"/>
      <c r="K23" s="33"/>
    </row>
    <row r="24" ht="51.0" customHeight="1">
      <c r="A24" s="20"/>
      <c r="B24" s="20"/>
      <c r="C24" s="20"/>
      <c r="D24" s="20"/>
      <c r="E24" s="20"/>
      <c r="F24" s="20"/>
      <c r="G24" s="20"/>
      <c r="H24" s="67"/>
      <c r="I24" s="8"/>
      <c r="J24" s="68"/>
      <c r="K24" s="33"/>
    </row>
    <row r="25" ht="66.75" customHeight="1">
      <c r="A25" s="69"/>
      <c r="B25" s="69"/>
      <c r="C25" s="69"/>
      <c r="D25" s="69"/>
      <c r="E25" s="69"/>
      <c r="F25" s="69"/>
      <c r="G25" s="69"/>
      <c r="H25" s="69"/>
      <c r="I25" s="8"/>
      <c r="J25" s="68"/>
      <c r="K25" s="33"/>
    </row>
    <row r="26" ht="66.75" customHeight="1">
      <c r="A26" s="69"/>
      <c r="B26" s="69"/>
      <c r="C26" s="69"/>
      <c r="D26" s="69"/>
      <c r="E26" s="69"/>
      <c r="F26" s="69"/>
      <c r="G26" s="69"/>
      <c r="H26" s="69"/>
      <c r="I26" s="8"/>
      <c r="J26" s="68"/>
      <c r="K26" s="33"/>
    </row>
    <row r="27" ht="66.75" customHeight="1">
      <c r="A27" s="69"/>
      <c r="B27" s="69"/>
      <c r="C27" s="69"/>
      <c r="D27" s="69"/>
      <c r="E27" s="69"/>
      <c r="F27" s="69"/>
      <c r="G27" s="69"/>
      <c r="H27" s="69"/>
      <c r="I27" s="8"/>
      <c r="J27" s="68"/>
      <c r="K27" s="33"/>
    </row>
    <row r="28" ht="66.75" customHeight="1">
      <c r="A28" s="69"/>
      <c r="B28" s="69"/>
      <c r="C28" s="69"/>
      <c r="D28" s="69"/>
      <c r="E28" s="69"/>
      <c r="F28" s="69"/>
      <c r="G28" s="69"/>
      <c r="H28" s="69"/>
      <c r="I28" s="8"/>
      <c r="J28" s="68"/>
      <c r="K28" s="33"/>
    </row>
    <row r="29" ht="66.75" customHeight="1">
      <c r="A29" s="69"/>
      <c r="B29" s="69"/>
      <c r="C29" s="69"/>
      <c r="D29" s="69"/>
      <c r="E29" s="69"/>
      <c r="F29" s="69"/>
      <c r="G29" s="69"/>
      <c r="H29" s="69"/>
      <c r="I29" s="8"/>
      <c r="J29" s="68"/>
      <c r="K29" s="33"/>
    </row>
    <row r="30" ht="66.75" customHeight="1">
      <c r="A30" s="69"/>
      <c r="B30" s="69"/>
      <c r="C30" s="69"/>
      <c r="D30" s="69"/>
      <c r="E30" s="69"/>
      <c r="F30" s="69"/>
      <c r="G30" s="69"/>
      <c r="H30" s="69"/>
      <c r="I30" s="8"/>
      <c r="J30" s="68"/>
      <c r="K30" s="33"/>
    </row>
    <row r="31" ht="66.75" customHeight="1">
      <c r="A31" s="69"/>
      <c r="B31" s="69"/>
      <c r="C31" s="69"/>
      <c r="D31" s="69"/>
      <c r="E31" s="69"/>
      <c r="F31" s="69"/>
      <c r="G31" s="69"/>
      <c r="H31" s="69"/>
      <c r="I31" s="8"/>
      <c r="J31" s="68"/>
      <c r="K31" s="33"/>
    </row>
    <row r="32" ht="66.75" customHeight="1">
      <c r="A32" s="69"/>
      <c r="B32" s="69"/>
      <c r="C32" s="69"/>
      <c r="D32" s="69"/>
      <c r="E32" s="69"/>
      <c r="F32" s="69"/>
      <c r="G32" s="69"/>
      <c r="H32" s="69"/>
      <c r="I32" s="8"/>
      <c r="J32" s="68"/>
      <c r="K32" s="33"/>
    </row>
    <row r="33" ht="66.75" customHeight="1">
      <c r="A33" s="69"/>
      <c r="B33" s="69"/>
      <c r="C33" s="69"/>
      <c r="D33" s="69"/>
      <c r="E33" s="69"/>
      <c r="F33" s="69"/>
      <c r="G33" s="69"/>
      <c r="H33" s="69"/>
      <c r="I33" s="8"/>
      <c r="J33" s="68"/>
      <c r="K33" s="33"/>
    </row>
    <row r="34" ht="66.75" customHeight="1">
      <c r="A34" s="69"/>
      <c r="B34" s="69"/>
      <c r="C34" s="69"/>
      <c r="D34" s="69"/>
      <c r="E34" s="69"/>
      <c r="F34" s="69"/>
      <c r="G34" s="69"/>
      <c r="H34" s="69"/>
      <c r="I34" s="8"/>
      <c r="J34" s="68"/>
      <c r="K34" s="33"/>
    </row>
    <row r="35" ht="66.75" customHeight="1">
      <c r="A35" s="69"/>
      <c r="B35" s="69"/>
      <c r="C35" s="69"/>
      <c r="D35" s="69"/>
      <c r="E35" s="69"/>
      <c r="F35" s="69"/>
      <c r="G35" s="69"/>
      <c r="H35" s="69"/>
      <c r="I35" s="8"/>
      <c r="J35" s="68"/>
      <c r="K35" s="33"/>
    </row>
    <row r="36" ht="66.75" customHeight="1">
      <c r="A36" s="69"/>
      <c r="B36" s="69"/>
      <c r="C36" s="69"/>
      <c r="D36" s="69"/>
      <c r="E36" s="69"/>
      <c r="F36" s="69"/>
      <c r="G36" s="69"/>
      <c r="H36" s="69"/>
      <c r="I36" s="8"/>
      <c r="J36" s="68"/>
      <c r="K36" s="33"/>
    </row>
    <row r="37" ht="66.75" customHeight="1">
      <c r="A37" s="69"/>
      <c r="B37" s="69"/>
      <c r="C37" s="69"/>
      <c r="D37" s="69"/>
      <c r="E37" s="69"/>
      <c r="F37" s="69"/>
      <c r="G37" s="69"/>
      <c r="H37" s="69"/>
      <c r="I37" s="8"/>
      <c r="J37" s="68"/>
      <c r="K37" s="33"/>
    </row>
    <row r="38" ht="66.75" customHeight="1">
      <c r="A38" s="69"/>
      <c r="B38" s="69"/>
      <c r="C38" s="69"/>
      <c r="D38" s="69"/>
      <c r="E38" s="69"/>
      <c r="F38" s="69"/>
      <c r="G38" s="69"/>
      <c r="H38" s="69"/>
      <c r="I38" s="8"/>
      <c r="J38" s="68"/>
      <c r="K38" s="33"/>
    </row>
    <row r="39" ht="66.75" customHeight="1">
      <c r="A39" s="69"/>
      <c r="B39" s="69"/>
      <c r="C39" s="69"/>
      <c r="D39" s="69"/>
      <c r="E39" s="69"/>
      <c r="F39" s="69"/>
      <c r="G39" s="69"/>
      <c r="H39" s="69"/>
      <c r="I39" s="8"/>
      <c r="J39" s="68"/>
      <c r="K39" s="33"/>
    </row>
    <row r="40" ht="66.75" customHeight="1">
      <c r="A40" s="69"/>
      <c r="B40" s="69"/>
      <c r="C40" s="69"/>
      <c r="D40" s="69"/>
      <c r="E40" s="69"/>
      <c r="F40" s="69"/>
      <c r="G40" s="69"/>
      <c r="H40" s="69"/>
      <c r="I40" s="8"/>
      <c r="J40" s="68"/>
      <c r="K40" s="33"/>
    </row>
    <row r="41" ht="66.75" customHeight="1">
      <c r="A41" s="69"/>
      <c r="B41" s="69"/>
      <c r="C41" s="69"/>
      <c r="D41" s="69"/>
      <c r="E41" s="69"/>
      <c r="F41" s="69"/>
      <c r="G41" s="69"/>
      <c r="H41" s="69"/>
      <c r="I41" s="8"/>
      <c r="J41" s="68"/>
      <c r="K41" s="33"/>
    </row>
    <row r="42" ht="66.75" customHeight="1">
      <c r="A42" s="69"/>
      <c r="B42" s="69"/>
      <c r="C42" s="69"/>
      <c r="D42" s="69"/>
      <c r="E42" s="69"/>
      <c r="F42" s="69"/>
      <c r="G42" s="69"/>
      <c r="H42" s="69"/>
      <c r="I42" s="8"/>
      <c r="J42" s="68"/>
      <c r="K42" s="33"/>
    </row>
    <row r="43" ht="66.75" customHeight="1">
      <c r="A43" s="69"/>
      <c r="B43" s="69"/>
      <c r="C43" s="69"/>
      <c r="D43" s="69"/>
      <c r="E43" s="69"/>
      <c r="F43" s="69"/>
      <c r="G43" s="69"/>
      <c r="H43" s="69"/>
      <c r="I43" s="8"/>
      <c r="J43" s="68"/>
      <c r="K43" s="33"/>
    </row>
    <row r="44" ht="66.75" customHeight="1">
      <c r="A44" s="69"/>
      <c r="B44" s="69"/>
      <c r="C44" s="69"/>
      <c r="D44" s="69"/>
      <c r="E44" s="69"/>
      <c r="F44" s="69"/>
      <c r="G44" s="69"/>
      <c r="H44" s="69"/>
      <c r="I44" s="8"/>
      <c r="J44" s="68"/>
      <c r="K44" s="33"/>
    </row>
    <row r="45" ht="66.75" customHeight="1">
      <c r="A45" s="69"/>
      <c r="B45" s="69"/>
      <c r="C45" s="69"/>
      <c r="D45" s="69"/>
      <c r="E45" s="69"/>
      <c r="F45" s="69"/>
      <c r="G45" s="69"/>
      <c r="H45" s="69"/>
      <c r="I45" s="8"/>
      <c r="J45" s="68"/>
      <c r="K45" s="33"/>
    </row>
    <row r="46" ht="66.75" customHeight="1">
      <c r="A46" s="69"/>
      <c r="B46" s="69"/>
      <c r="C46" s="69"/>
      <c r="D46" s="69"/>
      <c r="E46" s="69"/>
      <c r="F46" s="69"/>
      <c r="G46" s="69"/>
      <c r="H46" s="69"/>
      <c r="I46" s="8"/>
      <c r="J46" s="68"/>
      <c r="K46" s="33"/>
    </row>
    <row r="47" ht="66.75" customHeight="1">
      <c r="A47" s="69"/>
      <c r="B47" s="69"/>
      <c r="C47" s="69"/>
      <c r="D47" s="69"/>
      <c r="E47" s="69"/>
      <c r="F47" s="69"/>
      <c r="G47" s="69"/>
      <c r="H47" s="69"/>
      <c r="I47" s="8"/>
      <c r="J47" s="68"/>
      <c r="K47" s="33"/>
    </row>
    <row r="48" ht="66.75" customHeight="1">
      <c r="A48" s="69"/>
      <c r="B48" s="69"/>
      <c r="C48" s="69"/>
      <c r="D48" s="69"/>
      <c r="E48" s="69"/>
      <c r="F48" s="69"/>
      <c r="G48" s="69"/>
      <c r="H48" s="69"/>
      <c r="I48" s="8"/>
      <c r="J48" s="68"/>
      <c r="K48" s="33"/>
    </row>
    <row r="49" ht="66.75" customHeight="1">
      <c r="A49" s="69"/>
      <c r="B49" s="69"/>
      <c r="C49" s="69"/>
      <c r="D49" s="69"/>
      <c r="E49" s="69"/>
      <c r="F49" s="69"/>
      <c r="G49" s="69"/>
      <c r="H49" s="69"/>
      <c r="I49" s="8"/>
      <c r="J49" s="68"/>
      <c r="K49" s="33"/>
    </row>
    <row r="50" ht="66.75" customHeight="1">
      <c r="A50" s="69"/>
      <c r="B50" s="69"/>
      <c r="C50" s="69"/>
      <c r="D50" s="69"/>
      <c r="E50" s="69"/>
      <c r="F50" s="69"/>
      <c r="G50" s="69"/>
      <c r="H50" s="69"/>
      <c r="I50" s="8"/>
      <c r="J50" s="68"/>
      <c r="K50" s="33"/>
    </row>
    <row r="51" ht="66.75" customHeight="1">
      <c r="A51" s="69"/>
      <c r="B51" s="69"/>
      <c r="C51" s="69"/>
      <c r="D51" s="69"/>
      <c r="E51" s="69"/>
      <c r="F51" s="69"/>
      <c r="G51" s="69"/>
      <c r="H51" s="69"/>
      <c r="I51" s="8"/>
      <c r="J51" s="68"/>
      <c r="K51" s="33"/>
    </row>
    <row r="52" ht="66.75" customHeight="1">
      <c r="A52" s="69"/>
      <c r="B52" s="69"/>
      <c r="C52" s="69"/>
      <c r="D52" s="69"/>
      <c r="E52" s="69"/>
      <c r="F52" s="69"/>
      <c r="G52" s="69"/>
      <c r="H52" s="69"/>
      <c r="I52" s="8"/>
      <c r="J52" s="68"/>
      <c r="K52" s="33"/>
    </row>
    <row r="53" ht="66.75" customHeight="1">
      <c r="A53" s="69"/>
      <c r="B53" s="69"/>
      <c r="C53" s="69"/>
      <c r="D53" s="69"/>
      <c r="E53" s="69"/>
      <c r="F53" s="69"/>
      <c r="G53" s="69"/>
      <c r="H53" s="69"/>
      <c r="I53" s="8"/>
      <c r="J53" s="68"/>
      <c r="K53" s="33"/>
    </row>
    <row r="54" ht="66.75" customHeight="1">
      <c r="A54" s="69"/>
      <c r="B54" s="69"/>
      <c r="C54" s="69"/>
      <c r="D54" s="69"/>
      <c r="E54" s="69"/>
      <c r="F54" s="69"/>
      <c r="G54" s="69"/>
      <c r="H54" s="69"/>
      <c r="I54" s="8"/>
      <c r="J54" s="68"/>
      <c r="K54" s="33"/>
    </row>
    <row r="55" ht="66.75" customHeight="1">
      <c r="A55" s="69"/>
      <c r="B55" s="69"/>
      <c r="C55" s="69"/>
      <c r="D55" s="69"/>
      <c r="E55" s="69"/>
      <c r="F55" s="69"/>
      <c r="G55" s="69"/>
      <c r="H55" s="69"/>
      <c r="I55" s="8"/>
      <c r="J55" s="68"/>
      <c r="K55" s="33"/>
    </row>
    <row r="56" ht="66.75" customHeight="1">
      <c r="A56" s="69"/>
      <c r="B56" s="69"/>
      <c r="C56" s="69"/>
      <c r="D56" s="69"/>
      <c r="E56" s="69"/>
      <c r="F56" s="69"/>
      <c r="G56" s="69"/>
      <c r="H56" s="69"/>
      <c r="I56" s="8"/>
      <c r="J56" s="68"/>
      <c r="K56" s="33"/>
    </row>
    <row r="57" ht="66.75" customHeight="1">
      <c r="A57" s="69"/>
      <c r="B57" s="69"/>
      <c r="C57" s="69"/>
      <c r="D57" s="69"/>
      <c r="E57" s="69"/>
      <c r="F57" s="69"/>
      <c r="G57" s="69"/>
      <c r="H57" s="69"/>
      <c r="I57" s="8"/>
      <c r="J57" s="68"/>
      <c r="K57" s="33"/>
    </row>
    <row r="58" ht="66.75" customHeight="1">
      <c r="A58" s="69"/>
      <c r="B58" s="69"/>
      <c r="C58" s="69"/>
      <c r="D58" s="69"/>
      <c r="E58" s="69"/>
      <c r="F58" s="69"/>
      <c r="G58" s="69"/>
      <c r="H58" s="69"/>
      <c r="I58" s="8"/>
      <c r="J58" s="68"/>
      <c r="K58" s="33"/>
    </row>
    <row r="59" ht="66.75" customHeight="1">
      <c r="A59" s="69"/>
      <c r="B59" s="69"/>
      <c r="C59" s="69"/>
      <c r="D59" s="69"/>
      <c r="E59" s="69"/>
      <c r="F59" s="69"/>
      <c r="G59" s="69"/>
      <c r="H59" s="69"/>
      <c r="I59" s="8"/>
      <c r="J59" s="68"/>
      <c r="K59" s="33"/>
    </row>
    <row r="60" ht="66.75" customHeight="1">
      <c r="A60" s="69"/>
      <c r="B60" s="69"/>
      <c r="C60" s="69"/>
      <c r="D60" s="69"/>
      <c r="E60" s="69"/>
      <c r="F60" s="69"/>
      <c r="G60" s="69"/>
      <c r="H60" s="69"/>
      <c r="I60" s="8"/>
      <c r="J60" s="68"/>
      <c r="K60" s="33"/>
    </row>
    <row r="61" ht="66.75" customHeight="1">
      <c r="A61" s="69"/>
      <c r="B61" s="69"/>
      <c r="C61" s="69"/>
      <c r="D61" s="69"/>
      <c r="E61" s="69"/>
      <c r="F61" s="69"/>
      <c r="G61" s="69"/>
      <c r="H61" s="69"/>
      <c r="I61" s="8"/>
      <c r="J61" s="68"/>
      <c r="K61" s="33"/>
    </row>
    <row r="62" ht="66.75" customHeight="1">
      <c r="A62" s="69"/>
      <c r="B62" s="69"/>
      <c r="C62" s="69"/>
      <c r="D62" s="69"/>
      <c r="E62" s="69"/>
      <c r="F62" s="69"/>
      <c r="G62" s="69"/>
      <c r="H62" s="69"/>
      <c r="I62" s="8"/>
      <c r="J62" s="68"/>
      <c r="K62" s="33"/>
    </row>
    <row r="63" ht="66.75" customHeight="1">
      <c r="A63" s="69"/>
      <c r="B63" s="69"/>
      <c r="C63" s="69"/>
      <c r="D63" s="69"/>
      <c r="E63" s="69"/>
      <c r="F63" s="69"/>
      <c r="G63" s="69"/>
      <c r="H63" s="69"/>
      <c r="I63" s="8"/>
      <c r="J63" s="68"/>
      <c r="K63" s="33"/>
    </row>
    <row r="64" ht="66.75" customHeight="1">
      <c r="A64" s="69"/>
      <c r="B64" s="69"/>
      <c r="C64" s="69"/>
      <c r="D64" s="69"/>
      <c r="E64" s="69"/>
      <c r="F64" s="69"/>
      <c r="G64" s="69"/>
      <c r="H64" s="69"/>
      <c r="I64" s="8"/>
      <c r="J64" s="68"/>
      <c r="K64" s="33"/>
    </row>
    <row r="65" ht="66.75" customHeight="1">
      <c r="A65" s="69"/>
      <c r="B65" s="69"/>
      <c r="C65" s="69"/>
      <c r="D65" s="69"/>
      <c r="E65" s="69"/>
      <c r="F65" s="69"/>
      <c r="G65" s="69"/>
      <c r="H65" s="69"/>
      <c r="I65" s="8"/>
      <c r="J65" s="68"/>
      <c r="K65" s="33"/>
    </row>
    <row r="66" ht="66.75" customHeight="1">
      <c r="A66" s="69"/>
      <c r="B66" s="69"/>
      <c r="C66" s="69"/>
      <c r="D66" s="69"/>
      <c r="E66" s="69"/>
      <c r="F66" s="69"/>
      <c r="G66" s="69"/>
      <c r="H66" s="69"/>
      <c r="I66" s="8"/>
      <c r="J66" s="68"/>
      <c r="K66" s="33"/>
    </row>
    <row r="67" ht="66.75" customHeight="1">
      <c r="A67" s="69"/>
      <c r="B67" s="69"/>
      <c r="C67" s="69"/>
      <c r="D67" s="69"/>
      <c r="E67" s="69"/>
      <c r="F67" s="69"/>
      <c r="G67" s="69"/>
      <c r="H67" s="69"/>
      <c r="I67" s="8"/>
      <c r="J67" s="68"/>
      <c r="K67" s="33"/>
    </row>
    <row r="68" ht="66.75" customHeight="1">
      <c r="A68" s="69"/>
      <c r="B68" s="69"/>
      <c r="C68" s="69"/>
      <c r="D68" s="69"/>
      <c r="E68" s="69"/>
      <c r="F68" s="69"/>
      <c r="G68" s="69"/>
      <c r="H68" s="69"/>
      <c r="I68" s="8"/>
      <c r="J68" s="68"/>
      <c r="K68" s="33"/>
    </row>
    <row r="69" ht="66.75" customHeight="1">
      <c r="A69" s="69"/>
      <c r="B69" s="69"/>
      <c r="C69" s="69"/>
      <c r="D69" s="69"/>
      <c r="E69" s="69"/>
      <c r="F69" s="69"/>
      <c r="G69" s="69"/>
      <c r="H69" s="69"/>
      <c r="I69" s="8"/>
      <c r="J69" s="68"/>
      <c r="K69" s="33"/>
    </row>
    <row r="70" ht="66.75" customHeight="1">
      <c r="A70" s="69"/>
      <c r="B70" s="69"/>
      <c r="C70" s="69"/>
      <c r="D70" s="69"/>
      <c r="E70" s="69"/>
      <c r="F70" s="69"/>
      <c r="G70" s="69"/>
      <c r="H70" s="69"/>
      <c r="I70" s="8"/>
      <c r="J70" s="68"/>
      <c r="K70" s="33"/>
    </row>
    <row r="71" ht="66.75" customHeight="1">
      <c r="A71" s="69"/>
      <c r="B71" s="69"/>
      <c r="C71" s="69"/>
      <c r="D71" s="69"/>
      <c r="E71" s="69"/>
      <c r="F71" s="69"/>
      <c r="G71" s="69"/>
      <c r="H71" s="69"/>
      <c r="I71" s="8"/>
      <c r="J71" s="68"/>
      <c r="K71" s="33"/>
    </row>
    <row r="72" ht="66.75" customHeight="1">
      <c r="A72" s="69"/>
      <c r="B72" s="69"/>
      <c r="C72" s="69"/>
      <c r="D72" s="69"/>
      <c r="E72" s="69"/>
      <c r="F72" s="69"/>
      <c r="G72" s="69"/>
      <c r="H72" s="69"/>
      <c r="I72" s="8"/>
      <c r="J72" s="68"/>
      <c r="K72" s="33"/>
    </row>
    <row r="73" ht="66.75" customHeight="1">
      <c r="A73" s="69"/>
      <c r="B73" s="69"/>
      <c r="C73" s="69"/>
      <c r="D73" s="69"/>
      <c r="E73" s="69"/>
      <c r="F73" s="69"/>
      <c r="G73" s="69"/>
      <c r="H73" s="69"/>
      <c r="I73" s="8"/>
      <c r="J73" s="68"/>
      <c r="K73" s="33"/>
    </row>
    <row r="74" ht="66.75" customHeight="1">
      <c r="A74" s="69"/>
      <c r="B74" s="69"/>
      <c r="C74" s="69"/>
      <c r="D74" s="69"/>
      <c r="E74" s="69"/>
      <c r="F74" s="69"/>
      <c r="G74" s="69"/>
      <c r="H74" s="69"/>
      <c r="I74" s="8"/>
      <c r="J74" s="68"/>
      <c r="K74" s="33"/>
    </row>
    <row r="75" ht="66.75" customHeight="1">
      <c r="A75" s="69"/>
      <c r="B75" s="69"/>
      <c r="C75" s="69"/>
      <c r="D75" s="69"/>
      <c r="E75" s="69"/>
      <c r="F75" s="69"/>
      <c r="G75" s="69"/>
      <c r="H75" s="69"/>
      <c r="I75" s="8"/>
      <c r="J75" s="68"/>
      <c r="K75" s="33"/>
    </row>
    <row r="76" ht="66.75" customHeight="1">
      <c r="A76" s="69"/>
      <c r="B76" s="69"/>
      <c r="C76" s="69"/>
      <c r="D76" s="69"/>
      <c r="E76" s="69"/>
      <c r="F76" s="69"/>
      <c r="G76" s="69"/>
      <c r="H76" s="69"/>
      <c r="I76" s="8"/>
      <c r="J76" s="68"/>
      <c r="K76" s="33"/>
    </row>
    <row r="77" ht="66.75" customHeight="1">
      <c r="A77" s="69"/>
      <c r="B77" s="69"/>
      <c r="C77" s="69"/>
      <c r="D77" s="69"/>
      <c r="E77" s="69"/>
      <c r="F77" s="69"/>
      <c r="G77" s="69"/>
      <c r="H77" s="69"/>
      <c r="I77" s="8"/>
      <c r="J77" s="68"/>
      <c r="K77" s="33"/>
    </row>
    <row r="78" ht="66.75" customHeight="1">
      <c r="A78" s="69"/>
      <c r="B78" s="69"/>
      <c r="C78" s="69"/>
      <c r="D78" s="69"/>
      <c r="E78" s="69"/>
      <c r="F78" s="69"/>
      <c r="G78" s="69"/>
      <c r="H78" s="69"/>
      <c r="I78" s="8"/>
      <c r="J78" s="68"/>
      <c r="K78" s="33"/>
    </row>
    <row r="79" ht="66.75" customHeight="1">
      <c r="A79" s="69"/>
      <c r="B79" s="69"/>
      <c r="C79" s="69"/>
      <c r="D79" s="69"/>
      <c r="E79" s="69"/>
      <c r="F79" s="69"/>
      <c r="G79" s="69"/>
      <c r="H79" s="69"/>
      <c r="I79" s="8"/>
      <c r="J79" s="68"/>
      <c r="K79" s="33"/>
    </row>
    <row r="80" ht="66.75" customHeight="1">
      <c r="A80" s="69"/>
      <c r="B80" s="69"/>
      <c r="C80" s="69"/>
      <c r="D80" s="69"/>
      <c r="E80" s="69"/>
      <c r="F80" s="69"/>
      <c r="G80" s="69"/>
      <c r="H80" s="69"/>
      <c r="I80" s="8"/>
      <c r="J80" s="68"/>
      <c r="K80" s="33"/>
    </row>
    <row r="81" ht="66.75" customHeight="1">
      <c r="A81" s="69"/>
      <c r="B81" s="69"/>
      <c r="C81" s="69"/>
      <c r="D81" s="69"/>
      <c r="E81" s="69"/>
      <c r="F81" s="69"/>
      <c r="G81" s="69"/>
      <c r="H81" s="69"/>
      <c r="I81" s="8"/>
      <c r="J81" s="68"/>
      <c r="K81" s="33"/>
    </row>
    <row r="82" ht="66.75" customHeight="1">
      <c r="A82" s="69"/>
      <c r="B82" s="69"/>
      <c r="C82" s="69"/>
      <c r="D82" s="69"/>
      <c r="E82" s="69"/>
      <c r="F82" s="69"/>
      <c r="G82" s="69"/>
      <c r="H82" s="69"/>
      <c r="I82" s="8"/>
      <c r="J82" s="68"/>
      <c r="K82" s="33"/>
    </row>
    <row r="83" ht="66.75" customHeight="1">
      <c r="A83" s="69"/>
      <c r="B83" s="69"/>
      <c r="C83" s="69"/>
      <c r="D83" s="69"/>
      <c r="E83" s="69"/>
      <c r="F83" s="69"/>
      <c r="G83" s="69"/>
      <c r="H83" s="69"/>
      <c r="I83" s="8"/>
      <c r="J83" s="68"/>
      <c r="K83" s="33"/>
    </row>
    <row r="84" ht="66.75" customHeight="1">
      <c r="A84" s="69"/>
      <c r="B84" s="69"/>
      <c r="C84" s="69"/>
      <c r="D84" s="69"/>
      <c r="E84" s="69"/>
      <c r="F84" s="69"/>
      <c r="G84" s="69"/>
      <c r="H84" s="69"/>
      <c r="I84" s="8"/>
      <c r="J84" s="68"/>
      <c r="K84" s="33"/>
    </row>
    <row r="85" ht="66.75" customHeight="1">
      <c r="A85" s="69"/>
      <c r="B85" s="69"/>
      <c r="C85" s="69"/>
      <c r="D85" s="69"/>
      <c r="E85" s="69"/>
      <c r="F85" s="69"/>
      <c r="G85" s="69"/>
      <c r="H85" s="69"/>
      <c r="I85" s="8"/>
      <c r="J85" s="68"/>
      <c r="K85" s="33"/>
    </row>
    <row r="86" ht="66.75" customHeight="1">
      <c r="A86" s="69"/>
      <c r="B86" s="69"/>
      <c r="C86" s="69"/>
      <c r="D86" s="69"/>
      <c r="E86" s="69"/>
      <c r="F86" s="69"/>
      <c r="G86" s="69"/>
      <c r="H86" s="69"/>
      <c r="I86" s="8"/>
      <c r="J86" s="68"/>
      <c r="K86" s="33"/>
    </row>
    <row r="87" ht="66.75" customHeight="1">
      <c r="A87" s="69"/>
      <c r="B87" s="69"/>
      <c r="C87" s="69"/>
      <c r="D87" s="69"/>
      <c r="E87" s="69"/>
      <c r="F87" s="69"/>
      <c r="G87" s="69"/>
      <c r="H87" s="69"/>
      <c r="I87" s="8"/>
      <c r="J87" s="68"/>
      <c r="K87" s="33"/>
    </row>
    <row r="88" ht="66.75" customHeight="1">
      <c r="A88" s="69"/>
      <c r="B88" s="69"/>
      <c r="C88" s="69"/>
      <c r="D88" s="69"/>
      <c r="E88" s="69"/>
      <c r="F88" s="69"/>
      <c r="G88" s="69"/>
      <c r="H88" s="69"/>
      <c r="I88" s="8"/>
      <c r="J88" s="68"/>
      <c r="K88" s="33"/>
    </row>
    <row r="89" ht="66.75" customHeight="1">
      <c r="A89" s="69"/>
      <c r="B89" s="69"/>
      <c r="C89" s="69"/>
      <c r="D89" s="69"/>
      <c r="E89" s="69"/>
      <c r="F89" s="69"/>
      <c r="G89" s="69"/>
      <c r="H89" s="69"/>
      <c r="I89" s="8"/>
      <c r="J89" s="68"/>
      <c r="K89" s="33"/>
    </row>
    <row r="90" ht="66.75" customHeight="1">
      <c r="A90" s="69"/>
      <c r="B90" s="69"/>
      <c r="C90" s="69"/>
      <c r="D90" s="69"/>
      <c r="E90" s="69"/>
      <c r="F90" s="69"/>
      <c r="G90" s="69"/>
      <c r="H90" s="69"/>
      <c r="I90" s="8"/>
      <c r="J90" s="68"/>
      <c r="K90" s="33"/>
    </row>
    <row r="91" ht="66.75" customHeight="1">
      <c r="A91" s="69"/>
      <c r="B91" s="69"/>
      <c r="C91" s="69"/>
      <c r="D91" s="69"/>
      <c r="E91" s="69"/>
      <c r="F91" s="69"/>
      <c r="G91" s="69"/>
      <c r="H91" s="69"/>
      <c r="I91" s="8"/>
      <c r="J91" s="68"/>
      <c r="K91" s="33"/>
    </row>
    <row r="92" ht="66.75" customHeight="1">
      <c r="A92" s="69"/>
      <c r="B92" s="69"/>
      <c r="C92" s="69"/>
      <c r="D92" s="69"/>
      <c r="E92" s="69"/>
      <c r="F92" s="69"/>
      <c r="G92" s="69"/>
      <c r="H92" s="69"/>
      <c r="I92" s="8"/>
      <c r="J92" s="68"/>
      <c r="K92" s="33"/>
    </row>
    <row r="93" ht="66.75" customHeight="1">
      <c r="A93" s="69"/>
      <c r="B93" s="69"/>
      <c r="C93" s="69"/>
      <c r="D93" s="69"/>
      <c r="E93" s="69"/>
      <c r="F93" s="69"/>
      <c r="G93" s="69"/>
      <c r="H93" s="69"/>
      <c r="I93" s="8"/>
      <c r="J93" s="68"/>
      <c r="K93" s="33"/>
    </row>
    <row r="94" ht="66.75" customHeight="1">
      <c r="A94" s="69"/>
      <c r="B94" s="69"/>
      <c r="C94" s="69"/>
      <c r="D94" s="69"/>
      <c r="E94" s="69"/>
      <c r="F94" s="69"/>
      <c r="G94" s="69"/>
      <c r="H94" s="69"/>
      <c r="I94" s="8"/>
      <c r="J94" s="68"/>
      <c r="K94" s="33"/>
    </row>
    <row r="95" ht="66.75" customHeight="1">
      <c r="A95" s="69"/>
      <c r="B95" s="69"/>
      <c r="C95" s="69"/>
      <c r="D95" s="69"/>
      <c r="E95" s="69"/>
      <c r="F95" s="69"/>
      <c r="G95" s="69"/>
      <c r="H95" s="69"/>
      <c r="I95" s="8"/>
      <c r="J95" s="68"/>
      <c r="K95" s="33"/>
    </row>
    <row r="96" ht="66.75" customHeight="1">
      <c r="A96" s="69"/>
      <c r="B96" s="69"/>
      <c r="C96" s="69"/>
      <c r="D96" s="69"/>
      <c r="E96" s="69"/>
      <c r="F96" s="69"/>
      <c r="G96" s="69"/>
      <c r="H96" s="69"/>
      <c r="I96" s="8"/>
      <c r="J96" s="68"/>
      <c r="K96" s="33"/>
    </row>
    <row r="97" ht="66.75" customHeight="1">
      <c r="A97" s="69"/>
      <c r="B97" s="69"/>
      <c r="C97" s="69"/>
      <c r="D97" s="69"/>
      <c r="E97" s="69"/>
      <c r="F97" s="69"/>
      <c r="G97" s="69"/>
      <c r="H97" s="69"/>
      <c r="I97" s="8"/>
      <c r="J97" s="68"/>
      <c r="K97" s="33"/>
    </row>
    <row r="98" ht="66.75" customHeight="1">
      <c r="A98" s="69"/>
      <c r="B98" s="69"/>
      <c r="C98" s="69"/>
      <c r="D98" s="69"/>
      <c r="E98" s="69"/>
      <c r="F98" s="69"/>
      <c r="G98" s="69"/>
      <c r="H98" s="69"/>
      <c r="I98" s="8"/>
      <c r="J98" s="68"/>
      <c r="K98" s="33"/>
    </row>
    <row r="99" ht="66.75" customHeight="1">
      <c r="A99" s="69"/>
      <c r="B99" s="69"/>
      <c r="C99" s="69"/>
      <c r="D99" s="69"/>
      <c r="E99" s="69"/>
      <c r="F99" s="69"/>
      <c r="G99" s="69"/>
      <c r="H99" s="69"/>
      <c r="I99" s="8"/>
      <c r="J99" s="68"/>
      <c r="K99" s="33"/>
    </row>
    <row r="100" ht="66.75" customHeight="1">
      <c r="A100" s="69"/>
      <c r="B100" s="69"/>
      <c r="C100" s="69"/>
      <c r="D100" s="69"/>
      <c r="E100" s="69"/>
      <c r="F100" s="69"/>
      <c r="G100" s="69"/>
      <c r="H100" s="69"/>
      <c r="I100" s="8"/>
      <c r="J100" s="68"/>
      <c r="K100" s="33"/>
    </row>
    <row r="101" ht="66.75" customHeight="1">
      <c r="A101" s="69"/>
      <c r="B101" s="69"/>
      <c r="C101" s="69"/>
      <c r="D101" s="69"/>
      <c r="E101" s="69"/>
      <c r="F101" s="69"/>
      <c r="G101" s="69"/>
      <c r="H101" s="69"/>
      <c r="I101" s="8"/>
      <c r="J101" s="68"/>
      <c r="K101" s="33"/>
    </row>
    <row r="102" ht="66.75" customHeight="1">
      <c r="A102" s="69"/>
      <c r="B102" s="69"/>
      <c r="C102" s="69"/>
      <c r="D102" s="69"/>
      <c r="E102" s="69"/>
      <c r="F102" s="69"/>
      <c r="G102" s="69"/>
      <c r="H102" s="69"/>
      <c r="I102" s="8"/>
      <c r="J102" s="68"/>
      <c r="K102" s="33"/>
    </row>
    <row r="103" ht="66.75" customHeight="1">
      <c r="A103" s="69"/>
      <c r="B103" s="69"/>
      <c r="C103" s="69"/>
      <c r="D103" s="69"/>
      <c r="E103" s="69"/>
      <c r="F103" s="69"/>
      <c r="G103" s="69"/>
      <c r="H103" s="69"/>
      <c r="I103" s="8"/>
      <c r="J103" s="68"/>
      <c r="K103" s="33"/>
    </row>
    <row r="104" ht="66.75" customHeight="1">
      <c r="A104" s="69"/>
      <c r="B104" s="69"/>
      <c r="C104" s="69"/>
      <c r="D104" s="69"/>
      <c r="E104" s="69"/>
      <c r="F104" s="69"/>
      <c r="G104" s="69"/>
      <c r="H104" s="69"/>
      <c r="I104" s="8"/>
      <c r="J104" s="68"/>
      <c r="K104" s="33"/>
    </row>
    <row r="105" ht="66.75" customHeight="1">
      <c r="A105" s="69"/>
      <c r="B105" s="69"/>
      <c r="C105" s="69"/>
      <c r="D105" s="69"/>
      <c r="E105" s="69"/>
      <c r="F105" s="69"/>
      <c r="G105" s="69"/>
      <c r="H105" s="69"/>
      <c r="I105" s="8"/>
      <c r="J105" s="68"/>
      <c r="K105" s="33"/>
    </row>
    <row r="106" ht="66.75" customHeight="1">
      <c r="A106" s="69"/>
      <c r="B106" s="69"/>
      <c r="C106" s="69"/>
      <c r="D106" s="69"/>
      <c r="E106" s="69"/>
      <c r="F106" s="69"/>
      <c r="G106" s="69"/>
      <c r="H106" s="69"/>
      <c r="I106" s="8"/>
      <c r="J106" s="68"/>
      <c r="K106" s="33"/>
    </row>
    <row r="107" ht="66.75" customHeight="1">
      <c r="A107" s="69"/>
      <c r="B107" s="69"/>
      <c r="C107" s="69"/>
      <c r="D107" s="69"/>
      <c r="E107" s="69"/>
      <c r="F107" s="69"/>
      <c r="G107" s="69"/>
      <c r="H107" s="69"/>
      <c r="I107" s="8"/>
      <c r="J107" s="68"/>
      <c r="K107" s="33"/>
    </row>
    <row r="108" ht="66.75" customHeight="1">
      <c r="A108" s="69"/>
      <c r="B108" s="69"/>
      <c r="C108" s="69"/>
      <c r="D108" s="69"/>
      <c r="E108" s="69"/>
      <c r="F108" s="69"/>
      <c r="G108" s="69"/>
      <c r="H108" s="69"/>
      <c r="I108" s="8"/>
      <c r="J108" s="68"/>
      <c r="K108" s="33"/>
    </row>
    <row r="109" ht="66.75" customHeight="1">
      <c r="A109" s="69"/>
      <c r="B109" s="69"/>
      <c r="C109" s="69"/>
      <c r="D109" s="69"/>
      <c r="E109" s="69"/>
      <c r="F109" s="69"/>
      <c r="G109" s="69"/>
      <c r="H109" s="69"/>
      <c r="I109" s="8"/>
      <c r="J109" s="68"/>
      <c r="K109" s="33"/>
    </row>
    <row r="110" ht="66.75" customHeight="1">
      <c r="A110" s="69"/>
      <c r="B110" s="69"/>
      <c r="C110" s="69"/>
      <c r="D110" s="69"/>
      <c r="E110" s="69"/>
      <c r="F110" s="69"/>
      <c r="G110" s="69"/>
      <c r="H110" s="69"/>
      <c r="I110" s="8"/>
      <c r="J110" s="68"/>
      <c r="K110" s="33"/>
    </row>
    <row r="111" ht="66.75" customHeight="1">
      <c r="A111" s="69"/>
      <c r="B111" s="69"/>
      <c r="C111" s="69"/>
      <c r="D111" s="69"/>
      <c r="E111" s="69"/>
      <c r="F111" s="69"/>
      <c r="G111" s="69"/>
      <c r="H111" s="69"/>
      <c r="I111" s="8"/>
      <c r="J111" s="68"/>
      <c r="K111" s="33"/>
    </row>
    <row r="112" ht="66.75" customHeight="1">
      <c r="A112" s="69"/>
      <c r="B112" s="69"/>
      <c r="C112" s="69"/>
      <c r="D112" s="69"/>
      <c r="E112" s="69"/>
      <c r="F112" s="69"/>
      <c r="G112" s="69"/>
      <c r="H112" s="69"/>
      <c r="I112" s="8"/>
      <c r="J112" s="68"/>
      <c r="K112" s="33"/>
    </row>
    <row r="113" ht="66.75" customHeight="1">
      <c r="A113" s="69"/>
      <c r="B113" s="69"/>
      <c r="C113" s="69"/>
      <c r="D113" s="69"/>
      <c r="E113" s="69"/>
      <c r="F113" s="69"/>
      <c r="G113" s="69"/>
      <c r="H113" s="69"/>
      <c r="I113" s="8"/>
      <c r="J113" s="68"/>
      <c r="K113" s="33"/>
    </row>
    <row r="114" ht="66.75" customHeight="1">
      <c r="A114" s="69"/>
      <c r="B114" s="69"/>
      <c r="C114" s="69"/>
      <c r="D114" s="69"/>
      <c r="E114" s="69"/>
      <c r="F114" s="69"/>
      <c r="G114" s="69"/>
      <c r="H114" s="69"/>
      <c r="I114" s="8"/>
      <c r="J114" s="68"/>
      <c r="K114" s="33"/>
    </row>
    <row r="115" ht="66.75" customHeight="1">
      <c r="A115" s="69"/>
      <c r="B115" s="69"/>
      <c r="C115" s="69"/>
      <c r="D115" s="69"/>
      <c r="E115" s="69"/>
      <c r="F115" s="69"/>
      <c r="G115" s="69"/>
      <c r="H115" s="69"/>
      <c r="I115" s="8"/>
      <c r="J115" s="68"/>
      <c r="K115" s="33"/>
    </row>
    <row r="116" ht="66.75" customHeight="1">
      <c r="A116" s="69"/>
      <c r="B116" s="69"/>
      <c r="C116" s="69"/>
      <c r="D116" s="69"/>
      <c r="E116" s="69"/>
      <c r="F116" s="69"/>
      <c r="G116" s="69"/>
      <c r="H116" s="69"/>
      <c r="I116" s="8"/>
      <c r="J116" s="68"/>
      <c r="K116" s="33"/>
    </row>
    <row r="117" ht="66.75" customHeight="1">
      <c r="A117" s="69"/>
      <c r="B117" s="69"/>
      <c r="C117" s="69"/>
      <c r="D117" s="69"/>
      <c r="E117" s="69"/>
      <c r="F117" s="69"/>
      <c r="G117" s="69"/>
      <c r="H117" s="69"/>
      <c r="I117" s="8"/>
      <c r="J117" s="68"/>
      <c r="K117" s="33"/>
    </row>
    <row r="118" ht="66.75" customHeight="1">
      <c r="A118" s="69"/>
      <c r="B118" s="69"/>
      <c r="C118" s="69"/>
      <c r="D118" s="69"/>
      <c r="E118" s="69"/>
      <c r="F118" s="69"/>
      <c r="G118" s="69"/>
      <c r="H118" s="69"/>
      <c r="I118" s="8"/>
      <c r="J118" s="68"/>
      <c r="K118" s="33"/>
    </row>
    <row r="119" ht="66.75" customHeight="1">
      <c r="A119" s="69"/>
      <c r="B119" s="69"/>
      <c r="C119" s="69"/>
      <c r="D119" s="69"/>
      <c r="E119" s="69"/>
      <c r="F119" s="69"/>
      <c r="G119" s="69"/>
      <c r="H119" s="69"/>
      <c r="I119" s="8"/>
      <c r="J119" s="68"/>
      <c r="K119" s="33"/>
    </row>
    <row r="120" ht="66.75" customHeight="1">
      <c r="A120" s="69"/>
      <c r="B120" s="69"/>
      <c r="C120" s="69"/>
      <c r="D120" s="69"/>
      <c r="E120" s="69"/>
      <c r="F120" s="69"/>
      <c r="G120" s="69"/>
      <c r="H120" s="69"/>
      <c r="I120" s="8"/>
      <c r="J120" s="68"/>
      <c r="K120" s="33"/>
    </row>
    <row r="121" ht="66.75" customHeight="1">
      <c r="A121" s="69"/>
      <c r="B121" s="69"/>
      <c r="C121" s="69"/>
      <c r="D121" s="69"/>
      <c r="E121" s="69"/>
      <c r="F121" s="69"/>
      <c r="G121" s="69"/>
      <c r="H121" s="69"/>
      <c r="I121" s="8"/>
      <c r="J121" s="68"/>
      <c r="K121" s="33"/>
    </row>
    <row r="122" ht="66.75" customHeight="1">
      <c r="A122" s="69"/>
      <c r="B122" s="69"/>
      <c r="C122" s="69"/>
      <c r="D122" s="69"/>
      <c r="E122" s="69"/>
      <c r="F122" s="69"/>
      <c r="G122" s="69"/>
      <c r="H122" s="69"/>
      <c r="I122" s="8"/>
      <c r="J122" s="68"/>
      <c r="K122" s="33"/>
    </row>
    <row r="123" ht="66.75" customHeight="1">
      <c r="A123" s="69"/>
      <c r="B123" s="69"/>
      <c r="C123" s="69"/>
      <c r="D123" s="69"/>
      <c r="E123" s="69"/>
      <c r="F123" s="69"/>
      <c r="G123" s="69"/>
      <c r="H123" s="69"/>
      <c r="I123" s="8"/>
      <c r="J123" s="68"/>
      <c r="K123" s="33"/>
    </row>
    <row r="124" ht="66.75" customHeight="1">
      <c r="A124" s="69"/>
      <c r="B124" s="69"/>
      <c r="C124" s="69"/>
      <c r="D124" s="69"/>
      <c r="E124" s="69"/>
      <c r="F124" s="69"/>
      <c r="G124" s="69"/>
      <c r="H124" s="69"/>
      <c r="I124" s="8"/>
      <c r="J124" s="68"/>
      <c r="K124" s="33"/>
    </row>
    <row r="125" ht="66.75" customHeight="1">
      <c r="A125" s="69"/>
      <c r="B125" s="69"/>
      <c r="C125" s="69"/>
      <c r="D125" s="69"/>
      <c r="E125" s="69"/>
      <c r="F125" s="69"/>
      <c r="G125" s="69"/>
      <c r="H125" s="69"/>
      <c r="I125" s="8"/>
      <c r="J125" s="68"/>
      <c r="K125" s="33"/>
    </row>
    <row r="126" ht="66.75" customHeight="1">
      <c r="A126" s="69"/>
      <c r="B126" s="69"/>
      <c r="C126" s="69"/>
      <c r="D126" s="69"/>
      <c r="E126" s="69"/>
      <c r="F126" s="69"/>
      <c r="G126" s="69"/>
      <c r="H126" s="69"/>
      <c r="I126" s="8"/>
      <c r="J126" s="68"/>
      <c r="K126" s="33"/>
    </row>
    <row r="127" ht="66.75" customHeight="1">
      <c r="A127" s="69"/>
      <c r="B127" s="69"/>
      <c r="C127" s="69"/>
      <c r="D127" s="69"/>
      <c r="E127" s="69"/>
      <c r="F127" s="69"/>
      <c r="G127" s="69"/>
      <c r="H127" s="69"/>
      <c r="I127" s="8"/>
      <c r="J127" s="68"/>
      <c r="K127" s="33"/>
    </row>
    <row r="128" ht="66.75" customHeight="1">
      <c r="A128" s="69"/>
      <c r="B128" s="69"/>
      <c r="C128" s="69"/>
      <c r="D128" s="69"/>
      <c r="E128" s="69"/>
      <c r="F128" s="69"/>
      <c r="G128" s="69"/>
      <c r="H128" s="69"/>
      <c r="I128" s="8"/>
      <c r="J128" s="68"/>
      <c r="K128" s="33"/>
    </row>
    <row r="129" ht="66.75" customHeight="1">
      <c r="A129" s="69"/>
      <c r="B129" s="69"/>
      <c r="C129" s="69"/>
      <c r="D129" s="69"/>
      <c r="E129" s="69"/>
      <c r="F129" s="69"/>
      <c r="G129" s="69"/>
      <c r="H129" s="69"/>
      <c r="I129" s="8"/>
      <c r="J129" s="68"/>
      <c r="K129" s="33"/>
    </row>
    <row r="130" ht="66.75" customHeight="1">
      <c r="A130" s="69"/>
      <c r="B130" s="69"/>
      <c r="C130" s="69"/>
      <c r="D130" s="69"/>
      <c r="E130" s="69"/>
      <c r="F130" s="69"/>
      <c r="G130" s="69"/>
      <c r="H130" s="69"/>
      <c r="I130" s="8"/>
      <c r="J130" s="68"/>
      <c r="K130" s="33"/>
    </row>
    <row r="131" ht="66.75" customHeight="1">
      <c r="A131" s="69"/>
      <c r="B131" s="69"/>
      <c r="C131" s="69"/>
      <c r="D131" s="69"/>
      <c r="E131" s="69"/>
      <c r="F131" s="69"/>
      <c r="G131" s="69"/>
      <c r="H131" s="69"/>
      <c r="I131" s="8"/>
      <c r="J131" s="68"/>
      <c r="K131" s="33"/>
    </row>
    <row r="132" ht="66.75" customHeight="1">
      <c r="A132" s="69"/>
      <c r="B132" s="69"/>
      <c r="C132" s="69"/>
      <c r="D132" s="69"/>
      <c r="E132" s="69"/>
      <c r="F132" s="69"/>
      <c r="G132" s="69"/>
      <c r="H132" s="69"/>
      <c r="I132" s="8"/>
      <c r="J132" s="68"/>
      <c r="K132" s="33"/>
    </row>
    <row r="133" ht="66.75" customHeight="1">
      <c r="A133" s="69"/>
      <c r="B133" s="69"/>
      <c r="C133" s="69"/>
      <c r="D133" s="69"/>
      <c r="E133" s="69"/>
      <c r="F133" s="69"/>
      <c r="G133" s="69"/>
      <c r="H133" s="69"/>
      <c r="I133" s="8"/>
      <c r="J133" s="68"/>
      <c r="K133" s="33"/>
    </row>
    <row r="134" ht="66.75" customHeight="1">
      <c r="A134" s="69"/>
      <c r="B134" s="69"/>
      <c r="C134" s="69"/>
      <c r="D134" s="69"/>
      <c r="E134" s="69"/>
      <c r="F134" s="69"/>
      <c r="G134" s="69"/>
      <c r="H134" s="69"/>
      <c r="I134" s="8"/>
      <c r="J134" s="68"/>
      <c r="K134" s="33"/>
    </row>
    <row r="135" ht="66.75" customHeight="1">
      <c r="A135" s="69"/>
      <c r="B135" s="69"/>
      <c r="C135" s="69"/>
      <c r="D135" s="69"/>
      <c r="E135" s="69"/>
      <c r="F135" s="69"/>
      <c r="G135" s="69"/>
      <c r="H135" s="69"/>
      <c r="I135" s="8"/>
      <c r="J135" s="68"/>
      <c r="K135" s="33"/>
    </row>
    <row r="136" ht="66.75" customHeight="1">
      <c r="A136" s="69"/>
      <c r="B136" s="69"/>
      <c r="C136" s="69"/>
      <c r="D136" s="69"/>
      <c r="E136" s="69"/>
      <c r="F136" s="69"/>
      <c r="G136" s="69"/>
      <c r="H136" s="69"/>
      <c r="I136" s="8"/>
      <c r="J136" s="68"/>
      <c r="K136" s="33"/>
    </row>
    <row r="137" ht="66.75" customHeight="1">
      <c r="A137" s="69"/>
      <c r="B137" s="69"/>
      <c r="C137" s="69"/>
      <c r="D137" s="69"/>
      <c r="E137" s="69"/>
      <c r="F137" s="69"/>
      <c r="G137" s="69"/>
      <c r="H137" s="69"/>
      <c r="I137" s="8"/>
      <c r="J137" s="68"/>
      <c r="K137" s="33"/>
    </row>
    <row r="138" ht="66.75" customHeight="1">
      <c r="A138" s="69"/>
      <c r="B138" s="69"/>
      <c r="C138" s="69"/>
      <c r="D138" s="69"/>
      <c r="E138" s="69"/>
      <c r="F138" s="69"/>
      <c r="G138" s="69"/>
      <c r="H138" s="69"/>
      <c r="I138" s="8"/>
      <c r="J138" s="68"/>
      <c r="K138" s="33"/>
    </row>
    <row r="139" ht="66.75" customHeight="1">
      <c r="A139" s="69"/>
      <c r="B139" s="69"/>
      <c r="C139" s="69"/>
      <c r="D139" s="69"/>
      <c r="E139" s="69"/>
      <c r="F139" s="69"/>
      <c r="G139" s="69"/>
      <c r="H139" s="69"/>
      <c r="I139" s="8"/>
      <c r="J139" s="68"/>
      <c r="K139" s="33"/>
    </row>
    <row r="140" ht="66.75" customHeight="1">
      <c r="A140" s="69"/>
      <c r="B140" s="69"/>
      <c r="C140" s="69"/>
      <c r="D140" s="69"/>
      <c r="E140" s="69"/>
      <c r="F140" s="69"/>
      <c r="G140" s="69"/>
      <c r="H140" s="69"/>
      <c r="I140" s="8"/>
      <c r="J140" s="68"/>
      <c r="K140" s="33"/>
    </row>
    <row r="141" ht="66.75" customHeight="1">
      <c r="A141" s="69"/>
      <c r="B141" s="69"/>
      <c r="C141" s="69"/>
      <c r="D141" s="69"/>
      <c r="E141" s="69"/>
      <c r="F141" s="69"/>
      <c r="G141" s="69"/>
      <c r="H141" s="69"/>
      <c r="I141" s="8"/>
      <c r="J141" s="68"/>
      <c r="K141" s="33"/>
    </row>
    <row r="142" ht="66.75" customHeight="1">
      <c r="A142" s="69"/>
      <c r="B142" s="69"/>
      <c r="C142" s="69"/>
      <c r="D142" s="69"/>
      <c r="E142" s="69"/>
      <c r="F142" s="69"/>
      <c r="G142" s="69"/>
      <c r="H142" s="69"/>
      <c r="I142" s="8"/>
      <c r="J142" s="68"/>
      <c r="K142" s="33"/>
    </row>
    <row r="143" ht="66.75" customHeight="1">
      <c r="A143" s="69"/>
      <c r="B143" s="69"/>
      <c r="C143" s="69"/>
      <c r="D143" s="69"/>
      <c r="E143" s="69"/>
      <c r="F143" s="69"/>
      <c r="G143" s="69"/>
      <c r="H143" s="69"/>
      <c r="I143" s="8"/>
      <c r="J143" s="68"/>
      <c r="K143" s="33"/>
    </row>
    <row r="144" ht="66.75" customHeight="1">
      <c r="A144" s="69"/>
      <c r="B144" s="69"/>
      <c r="C144" s="69"/>
      <c r="D144" s="69"/>
      <c r="E144" s="69"/>
      <c r="F144" s="69"/>
      <c r="G144" s="69"/>
      <c r="H144" s="69"/>
      <c r="I144" s="8"/>
      <c r="J144" s="68"/>
      <c r="K144" s="33"/>
    </row>
    <row r="145" ht="66.75" customHeight="1">
      <c r="A145" s="69"/>
      <c r="B145" s="69"/>
      <c r="C145" s="69"/>
      <c r="D145" s="69"/>
      <c r="E145" s="69"/>
      <c r="F145" s="69"/>
      <c r="G145" s="69"/>
      <c r="H145" s="69"/>
      <c r="I145" s="8"/>
      <c r="J145" s="68"/>
      <c r="K145" s="33"/>
    </row>
    <row r="146" ht="66.75" customHeight="1">
      <c r="A146" s="69"/>
      <c r="B146" s="69"/>
      <c r="C146" s="69"/>
      <c r="D146" s="69"/>
      <c r="E146" s="69"/>
      <c r="F146" s="69"/>
      <c r="G146" s="69"/>
      <c r="H146" s="69"/>
      <c r="I146" s="8"/>
      <c r="J146" s="68"/>
      <c r="K146" s="33"/>
    </row>
    <row r="147" ht="66.75" customHeight="1">
      <c r="A147" s="69"/>
      <c r="B147" s="69"/>
      <c r="C147" s="69"/>
      <c r="D147" s="69"/>
      <c r="E147" s="69"/>
      <c r="F147" s="69"/>
      <c r="G147" s="69"/>
      <c r="H147" s="69"/>
      <c r="I147" s="8"/>
      <c r="J147" s="68"/>
      <c r="K147" s="33"/>
    </row>
    <row r="148" ht="66.75" customHeight="1">
      <c r="A148" s="69"/>
      <c r="B148" s="69"/>
      <c r="C148" s="69"/>
      <c r="D148" s="69"/>
      <c r="E148" s="69"/>
      <c r="F148" s="69"/>
      <c r="G148" s="69"/>
      <c r="H148" s="69"/>
      <c r="I148" s="8"/>
      <c r="J148" s="68"/>
      <c r="K148" s="33"/>
    </row>
    <row r="149" ht="66.75" customHeight="1">
      <c r="A149" s="69"/>
      <c r="B149" s="69"/>
      <c r="C149" s="69"/>
      <c r="D149" s="69"/>
      <c r="E149" s="69"/>
      <c r="F149" s="69"/>
      <c r="G149" s="69"/>
      <c r="H149" s="69"/>
      <c r="I149" s="8"/>
      <c r="J149" s="68"/>
      <c r="K149" s="33"/>
    </row>
    <row r="150" ht="66.75" customHeight="1">
      <c r="A150" s="69"/>
      <c r="B150" s="69"/>
      <c r="C150" s="69"/>
      <c r="D150" s="69"/>
      <c r="E150" s="69"/>
      <c r="F150" s="69"/>
      <c r="G150" s="69"/>
      <c r="H150" s="69"/>
      <c r="I150" s="8"/>
      <c r="J150" s="68"/>
      <c r="K150" s="33"/>
    </row>
    <row r="151" ht="66.75" customHeight="1">
      <c r="A151" s="69"/>
      <c r="B151" s="69"/>
      <c r="C151" s="69"/>
      <c r="D151" s="69"/>
      <c r="E151" s="69"/>
      <c r="F151" s="69"/>
      <c r="G151" s="69"/>
      <c r="H151" s="69"/>
      <c r="I151" s="8"/>
      <c r="J151" s="68"/>
      <c r="K151" s="33"/>
    </row>
    <row r="152" ht="66.75" customHeight="1">
      <c r="A152" s="69"/>
      <c r="B152" s="69"/>
      <c r="C152" s="69"/>
      <c r="D152" s="69"/>
      <c r="E152" s="69"/>
      <c r="F152" s="69"/>
      <c r="G152" s="69"/>
      <c r="H152" s="69"/>
      <c r="I152" s="8"/>
      <c r="J152" s="68"/>
      <c r="K152" s="33"/>
    </row>
    <row r="153" ht="66.75" customHeight="1">
      <c r="A153" s="69"/>
      <c r="B153" s="69"/>
      <c r="C153" s="69"/>
      <c r="D153" s="69"/>
      <c r="E153" s="69"/>
      <c r="F153" s="69"/>
      <c r="G153" s="69"/>
      <c r="H153" s="69"/>
      <c r="I153" s="8"/>
      <c r="J153" s="68"/>
      <c r="K153" s="33"/>
    </row>
    <row r="154" ht="66.75" customHeight="1">
      <c r="A154" s="69"/>
      <c r="B154" s="69"/>
      <c r="C154" s="69"/>
      <c r="D154" s="69"/>
      <c r="E154" s="69"/>
      <c r="F154" s="69"/>
      <c r="G154" s="69"/>
      <c r="H154" s="69"/>
      <c r="I154" s="8"/>
      <c r="J154" s="68"/>
      <c r="K154" s="33"/>
    </row>
    <row r="155" ht="66.75" customHeight="1">
      <c r="A155" s="69"/>
      <c r="B155" s="69"/>
      <c r="C155" s="69"/>
      <c r="D155" s="69"/>
      <c r="E155" s="69"/>
      <c r="F155" s="69"/>
      <c r="G155" s="69"/>
      <c r="H155" s="69"/>
      <c r="I155" s="8"/>
      <c r="J155" s="68"/>
      <c r="K155" s="33"/>
    </row>
    <row r="156" ht="66.75" customHeight="1">
      <c r="A156" s="69"/>
      <c r="B156" s="69"/>
      <c r="C156" s="69"/>
      <c r="D156" s="69"/>
      <c r="E156" s="69"/>
      <c r="F156" s="69"/>
      <c r="G156" s="69"/>
      <c r="H156" s="69"/>
      <c r="I156" s="8"/>
      <c r="J156" s="68"/>
      <c r="K156" s="33"/>
    </row>
    <row r="157" ht="66.75" customHeight="1">
      <c r="A157" s="69"/>
      <c r="B157" s="69"/>
      <c r="C157" s="69"/>
      <c r="D157" s="69"/>
      <c r="E157" s="69"/>
      <c r="F157" s="69"/>
      <c r="G157" s="69"/>
      <c r="H157" s="69"/>
      <c r="I157" s="8"/>
      <c r="J157" s="68"/>
      <c r="K157" s="33"/>
    </row>
    <row r="158" ht="66.75" customHeight="1">
      <c r="A158" s="69"/>
      <c r="B158" s="69"/>
      <c r="C158" s="69"/>
      <c r="D158" s="69"/>
      <c r="E158" s="69"/>
      <c r="F158" s="69"/>
      <c r="G158" s="69"/>
      <c r="H158" s="69"/>
      <c r="I158" s="8"/>
      <c r="J158" s="68"/>
      <c r="K158" s="33"/>
    </row>
    <row r="159" ht="66.75" customHeight="1">
      <c r="A159" s="69"/>
      <c r="B159" s="69"/>
      <c r="C159" s="69"/>
      <c r="D159" s="69"/>
      <c r="E159" s="69"/>
      <c r="F159" s="69"/>
      <c r="G159" s="69"/>
      <c r="H159" s="69"/>
      <c r="I159" s="8"/>
      <c r="J159" s="68"/>
      <c r="K159" s="33"/>
    </row>
    <row r="160" ht="66.75" customHeight="1">
      <c r="A160" s="69"/>
      <c r="B160" s="69"/>
      <c r="C160" s="69"/>
      <c r="D160" s="69"/>
      <c r="E160" s="69"/>
      <c r="F160" s="69"/>
      <c r="G160" s="69"/>
      <c r="H160" s="69"/>
      <c r="I160" s="8"/>
      <c r="J160" s="68"/>
      <c r="K160" s="33"/>
    </row>
    <row r="161" ht="66.75" customHeight="1">
      <c r="A161" s="69"/>
      <c r="B161" s="69"/>
      <c r="C161" s="69"/>
      <c r="D161" s="69"/>
      <c r="E161" s="69"/>
      <c r="F161" s="69"/>
      <c r="G161" s="69"/>
      <c r="H161" s="69"/>
      <c r="I161" s="8"/>
      <c r="J161" s="68"/>
      <c r="K161" s="33"/>
    </row>
    <row r="162" ht="66.75" customHeight="1">
      <c r="A162" s="69"/>
      <c r="B162" s="69"/>
      <c r="C162" s="69"/>
      <c r="D162" s="69"/>
      <c r="E162" s="69"/>
      <c r="F162" s="69"/>
      <c r="G162" s="69"/>
      <c r="H162" s="69"/>
      <c r="I162" s="8"/>
      <c r="J162" s="68"/>
      <c r="K162" s="33"/>
    </row>
    <row r="163" ht="66.75" customHeight="1">
      <c r="A163" s="69"/>
      <c r="B163" s="69"/>
      <c r="C163" s="69"/>
      <c r="D163" s="69"/>
      <c r="E163" s="69"/>
      <c r="F163" s="69"/>
      <c r="G163" s="69"/>
      <c r="H163" s="69"/>
      <c r="I163" s="8"/>
      <c r="J163" s="68"/>
      <c r="K163" s="33"/>
    </row>
    <row r="164" ht="66.75" customHeight="1">
      <c r="A164" s="69"/>
      <c r="B164" s="69"/>
      <c r="C164" s="69"/>
      <c r="D164" s="69"/>
      <c r="E164" s="69"/>
      <c r="F164" s="69"/>
      <c r="G164" s="69"/>
      <c r="H164" s="69"/>
      <c r="I164" s="8"/>
      <c r="J164" s="68"/>
      <c r="K164" s="33"/>
    </row>
    <row r="165" ht="66.75" customHeight="1">
      <c r="A165" s="69"/>
      <c r="B165" s="69"/>
      <c r="C165" s="69"/>
      <c r="D165" s="69"/>
      <c r="E165" s="69"/>
      <c r="F165" s="69"/>
      <c r="G165" s="69"/>
      <c r="H165" s="69"/>
      <c r="I165" s="8"/>
      <c r="J165" s="68"/>
      <c r="K165" s="33"/>
    </row>
    <row r="166" ht="66.75" customHeight="1">
      <c r="A166" s="69"/>
      <c r="B166" s="69"/>
      <c r="C166" s="69"/>
      <c r="D166" s="69"/>
      <c r="E166" s="69"/>
      <c r="F166" s="69"/>
      <c r="G166" s="69"/>
      <c r="H166" s="69"/>
      <c r="I166" s="8"/>
      <c r="J166" s="68"/>
      <c r="K166" s="33"/>
    </row>
    <row r="167" ht="66.75" customHeight="1">
      <c r="A167" s="69"/>
      <c r="B167" s="69"/>
      <c r="C167" s="69"/>
      <c r="D167" s="69"/>
      <c r="E167" s="69"/>
      <c r="F167" s="69"/>
      <c r="G167" s="69"/>
      <c r="H167" s="69"/>
      <c r="I167" s="8"/>
      <c r="J167" s="68"/>
      <c r="K167" s="33"/>
    </row>
    <row r="168" ht="66.75" customHeight="1">
      <c r="A168" s="69"/>
      <c r="B168" s="69"/>
      <c r="C168" s="69"/>
      <c r="D168" s="69"/>
      <c r="E168" s="69"/>
      <c r="F168" s="69"/>
      <c r="G168" s="69"/>
      <c r="H168" s="69"/>
      <c r="I168" s="8"/>
      <c r="J168" s="68"/>
      <c r="K168" s="33"/>
    </row>
    <row r="169" ht="66.75" customHeight="1">
      <c r="A169" s="69"/>
      <c r="B169" s="69"/>
      <c r="C169" s="69"/>
      <c r="D169" s="69"/>
      <c r="E169" s="69"/>
      <c r="F169" s="69"/>
      <c r="G169" s="69"/>
      <c r="H169" s="69"/>
      <c r="I169" s="8"/>
      <c r="J169" s="68"/>
      <c r="K169" s="33"/>
    </row>
    <row r="170" ht="66.75" customHeight="1">
      <c r="A170" s="69"/>
      <c r="B170" s="69"/>
      <c r="C170" s="69"/>
      <c r="D170" s="69"/>
      <c r="E170" s="69"/>
      <c r="F170" s="69"/>
      <c r="G170" s="69"/>
      <c r="H170" s="69"/>
      <c r="I170" s="8"/>
      <c r="J170" s="68"/>
      <c r="K170" s="33"/>
    </row>
    <row r="171" ht="66.75" customHeight="1">
      <c r="A171" s="69"/>
      <c r="B171" s="69"/>
      <c r="C171" s="69"/>
      <c r="D171" s="69"/>
      <c r="E171" s="69"/>
      <c r="F171" s="69"/>
      <c r="G171" s="69"/>
      <c r="H171" s="69"/>
      <c r="I171" s="8"/>
      <c r="J171" s="68"/>
      <c r="K171" s="33"/>
    </row>
    <row r="172" ht="66.75" customHeight="1">
      <c r="A172" s="69"/>
      <c r="B172" s="69"/>
      <c r="C172" s="69"/>
      <c r="D172" s="69"/>
      <c r="E172" s="69"/>
      <c r="F172" s="69"/>
      <c r="G172" s="69"/>
      <c r="H172" s="69"/>
      <c r="I172" s="8"/>
      <c r="J172" s="68"/>
      <c r="K172" s="33"/>
    </row>
    <row r="173" ht="66.75" customHeight="1">
      <c r="A173" s="69"/>
      <c r="B173" s="69"/>
      <c r="C173" s="69"/>
      <c r="D173" s="69"/>
      <c r="E173" s="69"/>
      <c r="F173" s="69"/>
      <c r="G173" s="69"/>
      <c r="H173" s="69"/>
      <c r="I173" s="8"/>
      <c r="J173" s="68"/>
      <c r="K173" s="33"/>
    </row>
    <row r="174" ht="66.75" customHeight="1">
      <c r="A174" s="69"/>
      <c r="B174" s="69"/>
      <c r="C174" s="69"/>
      <c r="D174" s="69"/>
      <c r="E174" s="69"/>
      <c r="F174" s="69"/>
      <c r="G174" s="69"/>
      <c r="H174" s="69"/>
      <c r="I174" s="8"/>
      <c r="J174" s="68"/>
      <c r="K174" s="33"/>
    </row>
    <row r="175" ht="66.75" customHeight="1">
      <c r="A175" s="69"/>
      <c r="B175" s="69"/>
      <c r="C175" s="69"/>
      <c r="D175" s="69"/>
      <c r="E175" s="69"/>
      <c r="F175" s="69"/>
      <c r="G175" s="69"/>
      <c r="H175" s="69"/>
      <c r="I175" s="8"/>
      <c r="J175" s="68"/>
      <c r="K175" s="33"/>
    </row>
    <row r="176" ht="66.75" customHeight="1">
      <c r="A176" s="69"/>
      <c r="B176" s="69"/>
      <c r="C176" s="69"/>
      <c r="D176" s="69"/>
      <c r="E176" s="69"/>
      <c r="F176" s="69"/>
      <c r="G176" s="69"/>
      <c r="H176" s="69"/>
      <c r="I176" s="8"/>
      <c r="J176" s="68"/>
      <c r="K176" s="33"/>
    </row>
    <row r="177" ht="66.75" customHeight="1">
      <c r="A177" s="69"/>
      <c r="B177" s="69"/>
      <c r="C177" s="69"/>
      <c r="D177" s="69"/>
      <c r="E177" s="69"/>
      <c r="F177" s="69"/>
      <c r="G177" s="69"/>
      <c r="H177" s="69"/>
      <c r="I177" s="8"/>
      <c r="J177" s="68"/>
      <c r="K177" s="33"/>
    </row>
    <row r="178" ht="66.75" customHeight="1">
      <c r="A178" s="69"/>
      <c r="B178" s="69"/>
      <c r="C178" s="69"/>
      <c r="D178" s="69"/>
      <c r="E178" s="69"/>
      <c r="F178" s="69"/>
      <c r="G178" s="69"/>
      <c r="H178" s="69"/>
      <c r="I178" s="8"/>
      <c r="J178" s="68"/>
      <c r="K178" s="33"/>
    </row>
    <row r="179" ht="66.75" customHeight="1">
      <c r="A179" s="69"/>
      <c r="B179" s="69"/>
      <c r="C179" s="69"/>
      <c r="D179" s="69"/>
      <c r="E179" s="69"/>
      <c r="F179" s="69"/>
      <c r="G179" s="69"/>
      <c r="H179" s="69"/>
      <c r="I179" s="8"/>
      <c r="J179" s="68"/>
      <c r="K179" s="33"/>
    </row>
    <row r="180" ht="66.75" customHeight="1">
      <c r="A180" s="69"/>
      <c r="B180" s="69"/>
      <c r="C180" s="69"/>
      <c r="D180" s="69"/>
      <c r="E180" s="69"/>
      <c r="F180" s="69"/>
      <c r="G180" s="69"/>
      <c r="H180" s="69"/>
      <c r="I180" s="8"/>
      <c r="J180" s="68"/>
      <c r="K180" s="33"/>
    </row>
    <row r="181" ht="66.75" customHeight="1">
      <c r="A181" s="69"/>
      <c r="B181" s="69"/>
      <c r="C181" s="69"/>
      <c r="D181" s="69"/>
      <c r="E181" s="69"/>
      <c r="F181" s="69"/>
      <c r="G181" s="69"/>
      <c r="H181" s="69"/>
      <c r="I181" s="8"/>
      <c r="J181" s="68"/>
      <c r="K181" s="33"/>
    </row>
    <row r="182" ht="66.75" customHeight="1">
      <c r="A182" s="69"/>
      <c r="B182" s="69"/>
      <c r="C182" s="69"/>
      <c r="D182" s="69"/>
      <c r="E182" s="69"/>
      <c r="F182" s="69"/>
      <c r="G182" s="69"/>
      <c r="H182" s="69"/>
      <c r="I182" s="8"/>
      <c r="J182" s="68"/>
      <c r="K182" s="33"/>
    </row>
    <row r="183" ht="66.75" customHeight="1">
      <c r="A183" s="69"/>
      <c r="B183" s="69"/>
      <c r="C183" s="69"/>
      <c r="D183" s="69"/>
      <c r="E183" s="69"/>
      <c r="F183" s="69"/>
      <c r="G183" s="69"/>
      <c r="H183" s="69"/>
      <c r="I183" s="8"/>
      <c r="J183" s="68"/>
      <c r="K183" s="33"/>
    </row>
    <row r="184" ht="66.75" customHeight="1">
      <c r="A184" s="69"/>
      <c r="B184" s="69"/>
      <c r="C184" s="69"/>
      <c r="D184" s="69"/>
      <c r="E184" s="69"/>
      <c r="F184" s="69"/>
      <c r="G184" s="69"/>
      <c r="H184" s="69"/>
      <c r="I184" s="8"/>
      <c r="J184" s="68"/>
      <c r="K184" s="33"/>
    </row>
    <row r="185" ht="66.75" customHeight="1">
      <c r="A185" s="69"/>
      <c r="B185" s="69"/>
      <c r="C185" s="69"/>
      <c r="D185" s="69"/>
      <c r="E185" s="69"/>
      <c r="F185" s="69"/>
      <c r="G185" s="69"/>
      <c r="H185" s="69"/>
      <c r="I185" s="8"/>
      <c r="J185" s="68"/>
      <c r="K185" s="33"/>
    </row>
    <row r="186" ht="66.75" customHeight="1">
      <c r="A186" s="69"/>
      <c r="B186" s="69"/>
      <c r="C186" s="69"/>
      <c r="D186" s="69"/>
      <c r="E186" s="69"/>
      <c r="F186" s="69"/>
      <c r="G186" s="69"/>
      <c r="H186" s="69"/>
      <c r="I186" s="8"/>
      <c r="J186" s="68"/>
      <c r="K186" s="33"/>
    </row>
    <row r="187" ht="66.75" customHeight="1">
      <c r="A187" s="69"/>
      <c r="B187" s="69"/>
      <c r="C187" s="69"/>
      <c r="D187" s="69"/>
      <c r="E187" s="69"/>
      <c r="F187" s="69"/>
      <c r="G187" s="69"/>
      <c r="H187" s="69"/>
      <c r="I187" s="8"/>
      <c r="J187" s="68"/>
      <c r="K187" s="33"/>
    </row>
    <row r="188" ht="66.75" customHeight="1">
      <c r="A188" s="69"/>
      <c r="B188" s="69"/>
      <c r="C188" s="69"/>
      <c r="D188" s="69"/>
      <c r="E188" s="69"/>
      <c r="F188" s="69"/>
      <c r="G188" s="69"/>
      <c r="H188" s="69"/>
      <c r="I188" s="8"/>
      <c r="J188" s="68"/>
      <c r="K188" s="33"/>
    </row>
    <row r="189" ht="66.75" customHeight="1">
      <c r="A189" s="69"/>
      <c r="B189" s="69"/>
      <c r="C189" s="69"/>
      <c r="D189" s="69"/>
      <c r="E189" s="69"/>
      <c r="F189" s="69"/>
      <c r="G189" s="69"/>
      <c r="H189" s="69"/>
      <c r="I189" s="8"/>
      <c r="J189" s="68"/>
      <c r="K189" s="33"/>
    </row>
    <row r="190" ht="66.75" customHeight="1">
      <c r="A190" s="69"/>
      <c r="B190" s="69"/>
      <c r="C190" s="69"/>
      <c r="D190" s="69"/>
      <c r="E190" s="69"/>
      <c r="F190" s="69"/>
      <c r="G190" s="69"/>
      <c r="H190" s="69"/>
      <c r="I190" s="8"/>
      <c r="J190" s="68"/>
      <c r="K190" s="33"/>
    </row>
    <row r="191" ht="66.75" customHeight="1">
      <c r="A191" s="69"/>
      <c r="B191" s="69"/>
      <c r="C191" s="69"/>
      <c r="D191" s="69"/>
      <c r="E191" s="69"/>
      <c r="F191" s="69"/>
      <c r="G191" s="69"/>
      <c r="H191" s="69"/>
      <c r="I191" s="8"/>
      <c r="J191" s="68"/>
      <c r="K191" s="33"/>
    </row>
    <row r="192" ht="66.75" customHeight="1">
      <c r="A192" s="69"/>
      <c r="B192" s="69"/>
      <c r="C192" s="69"/>
      <c r="D192" s="69"/>
      <c r="E192" s="69"/>
      <c r="F192" s="69"/>
      <c r="G192" s="69"/>
      <c r="H192" s="69"/>
      <c r="I192" s="8"/>
      <c r="J192" s="68"/>
      <c r="K192" s="33"/>
    </row>
    <row r="193" ht="66.75" customHeight="1">
      <c r="A193" s="69"/>
      <c r="B193" s="69"/>
      <c r="C193" s="69"/>
      <c r="D193" s="69"/>
      <c r="E193" s="69"/>
      <c r="F193" s="69"/>
      <c r="G193" s="69"/>
      <c r="H193" s="69"/>
      <c r="I193" s="8"/>
      <c r="J193" s="68"/>
      <c r="K193" s="33"/>
    </row>
    <row r="194" ht="66.75" customHeight="1">
      <c r="A194" s="69"/>
      <c r="B194" s="69"/>
      <c r="C194" s="69"/>
      <c r="D194" s="69"/>
      <c r="E194" s="69"/>
      <c r="F194" s="69"/>
      <c r="G194" s="69"/>
      <c r="H194" s="69"/>
      <c r="I194" s="8"/>
      <c r="J194" s="68"/>
      <c r="K194" s="33"/>
    </row>
    <row r="195" ht="66.75" customHeight="1">
      <c r="A195" s="69"/>
      <c r="B195" s="69"/>
      <c r="C195" s="69"/>
      <c r="D195" s="69"/>
      <c r="E195" s="69"/>
      <c r="F195" s="69"/>
      <c r="G195" s="69"/>
      <c r="H195" s="69"/>
      <c r="I195" s="8"/>
      <c r="J195" s="68"/>
      <c r="K195" s="33"/>
    </row>
    <row r="196" ht="66.75" customHeight="1">
      <c r="A196" s="69"/>
      <c r="B196" s="69"/>
      <c r="C196" s="69"/>
      <c r="D196" s="69"/>
      <c r="E196" s="69"/>
      <c r="F196" s="69"/>
      <c r="G196" s="69"/>
      <c r="H196" s="69"/>
      <c r="I196" s="8"/>
      <c r="J196" s="68"/>
      <c r="K196" s="33"/>
    </row>
    <row r="197" ht="66.75" customHeight="1">
      <c r="A197" s="69"/>
      <c r="B197" s="69"/>
      <c r="C197" s="69"/>
      <c r="D197" s="69"/>
      <c r="E197" s="69"/>
      <c r="F197" s="69"/>
      <c r="G197" s="69"/>
      <c r="H197" s="69"/>
      <c r="I197" s="8"/>
      <c r="J197" s="68"/>
      <c r="K197" s="33"/>
    </row>
    <row r="198" ht="66.75" customHeight="1">
      <c r="A198" s="69"/>
      <c r="B198" s="69"/>
      <c r="C198" s="69"/>
      <c r="D198" s="69"/>
      <c r="E198" s="69"/>
      <c r="F198" s="69"/>
      <c r="G198" s="69"/>
      <c r="H198" s="69"/>
      <c r="I198" s="8"/>
      <c r="J198" s="68"/>
      <c r="K198" s="33"/>
    </row>
    <row r="199" ht="66.75" customHeight="1">
      <c r="A199" s="69"/>
      <c r="B199" s="69"/>
      <c r="C199" s="69"/>
      <c r="D199" s="69"/>
      <c r="E199" s="69"/>
      <c r="F199" s="69"/>
      <c r="G199" s="69"/>
      <c r="H199" s="69"/>
      <c r="I199" s="8"/>
      <c r="J199" s="68"/>
      <c r="K199" s="33"/>
    </row>
    <row r="200" ht="66.75" customHeight="1">
      <c r="A200" s="69"/>
      <c r="B200" s="69"/>
      <c r="C200" s="69"/>
      <c r="D200" s="69"/>
      <c r="E200" s="69"/>
      <c r="F200" s="69"/>
      <c r="G200" s="69"/>
      <c r="H200" s="69"/>
      <c r="I200" s="8"/>
      <c r="J200" s="68"/>
      <c r="K200" s="33"/>
    </row>
    <row r="201" ht="66.75" customHeight="1">
      <c r="A201" s="69"/>
      <c r="B201" s="69"/>
      <c r="C201" s="69"/>
      <c r="D201" s="69"/>
      <c r="E201" s="69"/>
      <c r="F201" s="69"/>
      <c r="G201" s="69"/>
      <c r="H201" s="69"/>
      <c r="I201" s="8"/>
      <c r="J201" s="68"/>
      <c r="K201" s="33"/>
    </row>
    <row r="202" ht="66.75" customHeight="1">
      <c r="A202" s="69"/>
      <c r="B202" s="69"/>
      <c r="C202" s="69"/>
      <c r="D202" s="69"/>
      <c r="E202" s="69"/>
      <c r="F202" s="69"/>
      <c r="G202" s="69"/>
      <c r="H202" s="69"/>
      <c r="I202" s="8"/>
      <c r="J202" s="68"/>
      <c r="K202" s="33"/>
    </row>
    <row r="203" ht="66.75" customHeight="1">
      <c r="A203" s="69"/>
      <c r="B203" s="69"/>
      <c r="C203" s="69"/>
      <c r="D203" s="69"/>
      <c r="E203" s="69"/>
      <c r="F203" s="69"/>
      <c r="G203" s="69"/>
      <c r="H203" s="69"/>
      <c r="I203" s="8"/>
      <c r="J203" s="68"/>
      <c r="K203" s="33"/>
    </row>
    <row r="204" ht="66.75" customHeight="1">
      <c r="A204" s="69"/>
      <c r="B204" s="69"/>
      <c r="C204" s="69"/>
      <c r="D204" s="69"/>
      <c r="E204" s="69"/>
      <c r="F204" s="69"/>
      <c r="G204" s="69"/>
      <c r="H204" s="69"/>
      <c r="I204" s="8"/>
      <c r="J204" s="68"/>
      <c r="K204" s="33"/>
    </row>
    <row r="205" ht="66.75" customHeight="1">
      <c r="A205" s="69"/>
      <c r="B205" s="69"/>
      <c r="C205" s="69"/>
      <c r="D205" s="69"/>
      <c r="E205" s="69"/>
      <c r="F205" s="69"/>
      <c r="G205" s="69"/>
      <c r="H205" s="69"/>
      <c r="I205" s="8"/>
      <c r="J205" s="68"/>
      <c r="K205" s="33"/>
    </row>
    <row r="206" ht="66.75" customHeight="1">
      <c r="A206" s="69"/>
      <c r="B206" s="69"/>
      <c r="C206" s="69"/>
      <c r="D206" s="69"/>
      <c r="E206" s="69"/>
      <c r="F206" s="69"/>
      <c r="G206" s="69"/>
      <c r="H206" s="69"/>
      <c r="I206" s="8"/>
      <c r="J206" s="68"/>
      <c r="K206" s="33"/>
    </row>
    <row r="207" ht="66.75" customHeight="1">
      <c r="A207" s="69"/>
      <c r="B207" s="69"/>
      <c r="C207" s="69"/>
      <c r="D207" s="69"/>
      <c r="E207" s="69"/>
      <c r="F207" s="69"/>
      <c r="G207" s="69"/>
      <c r="H207" s="69"/>
      <c r="I207" s="8"/>
      <c r="J207" s="68"/>
      <c r="K207" s="33"/>
    </row>
    <row r="208" ht="66.75" customHeight="1">
      <c r="A208" s="69"/>
      <c r="B208" s="69"/>
      <c r="C208" s="69"/>
      <c r="D208" s="69"/>
      <c r="E208" s="69"/>
      <c r="F208" s="69"/>
      <c r="G208" s="69"/>
      <c r="H208" s="69"/>
      <c r="I208" s="8"/>
      <c r="J208" s="68"/>
      <c r="K208" s="33"/>
    </row>
    <row r="209" ht="66.75" customHeight="1">
      <c r="A209" s="69"/>
      <c r="B209" s="69"/>
      <c r="C209" s="69"/>
      <c r="D209" s="69"/>
      <c r="E209" s="69"/>
      <c r="F209" s="69"/>
      <c r="G209" s="69"/>
      <c r="H209" s="69"/>
      <c r="I209" s="8"/>
      <c r="J209" s="68"/>
      <c r="K209" s="33"/>
    </row>
    <row r="210" ht="66.75" customHeight="1">
      <c r="A210" s="69"/>
      <c r="B210" s="69"/>
      <c r="C210" s="69"/>
      <c r="D210" s="69"/>
      <c r="E210" s="69"/>
      <c r="F210" s="69"/>
      <c r="G210" s="69"/>
      <c r="H210" s="69"/>
      <c r="I210" s="8"/>
      <c r="J210" s="68"/>
      <c r="K210" s="33"/>
    </row>
    <row r="211" ht="66.75" customHeight="1">
      <c r="A211" s="69"/>
      <c r="B211" s="69"/>
      <c r="C211" s="69"/>
      <c r="D211" s="69"/>
      <c r="E211" s="69"/>
      <c r="F211" s="69"/>
      <c r="G211" s="69"/>
      <c r="H211" s="69"/>
      <c r="I211" s="8"/>
      <c r="J211" s="68"/>
      <c r="K211" s="33"/>
    </row>
    <row r="212" ht="66.75" customHeight="1">
      <c r="A212" s="69"/>
      <c r="B212" s="69"/>
      <c r="C212" s="69"/>
      <c r="D212" s="69"/>
      <c r="E212" s="69"/>
      <c r="F212" s="69"/>
      <c r="G212" s="69"/>
      <c r="H212" s="69"/>
      <c r="I212" s="8"/>
      <c r="J212" s="68"/>
      <c r="K212" s="33"/>
    </row>
    <row r="213" ht="66.75" customHeight="1">
      <c r="A213" s="69"/>
      <c r="B213" s="69"/>
      <c r="C213" s="69"/>
      <c r="D213" s="69"/>
      <c r="E213" s="69"/>
      <c r="F213" s="69"/>
      <c r="G213" s="69"/>
      <c r="H213" s="69"/>
      <c r="I213" s="8"/>
      <c r="J213" s="68"/>
      <c r="K213" s="33"/>
    </row>
    <row r="214" ht="66.75" customHeight="1">
      <c r="A214" s="69"/>
      <c r="B214" s="69"/>
      <c r="C214" s="69"/>
      <c r="D214" s="69"/>
      <c r="E214" s="69"/>
      <c r="F214" s="69"/>
      <c r="G214" s="69"/>
      <c r="H214" s="69"/>
      <c r="I214" s="8"/>
      <c r="J214" s="68"/>
      <c r="K214" s="33"/>
    </row>
    <row r="215" ht="66.75" customHeight="1">
      <c r="A215" s="69"/>
      <c r="B215" s="69"/>
      <c r="C215" s="69"/>
      <c r="D215" s="69"/>
      <c r="E215" s="69"/>
      <c r="F215" s="69"/>
      <c r="G215" s="69"/>
      <c r="H215" s="69"/>
      <c r="I215" s="8"/>
      <c r="J215" s="68"/>
      <c r="K215" s="33"/>
    </row>
    <row r="216" ht="66.75" customHeight="1">
      <c r="A216" s="69"/>
      <c r="B216" s="69"/>
      <c r="C216" s="69"/>
      <c r="D216" s="69"/>
      <c r="E216" s="69"/>
      <c r="F216" s="69"/>
      <c r="G216" s="69"/>
      <c r="H216" s="69"/>
      <c r="I216" s="8"/>
      <c r="J216" s="68"/>
      <c r="K216" s="33"/>
    </row>
    <row r="217" ht="66.75" customHeight="1">
      <c r="A217" s="69"/>
      <c r="B217" s="69"/>
      <c r="C217" s="69"/>
      <c r="D217" s="69"/>
      <c r="E217" s="69"/>
      <c r="F217" s="69"/>
      <c r="G217" s="69"/>
      <c r="H217" s="69"/>
      <c r="I217" s="8"/>
      <c r="J217" s="68"/>
      <c r="K217" s="33"/>
    </row>
    <row r="218" ht="66.75" customHeight="1">
      <c r="A218" s="69"/>
      <c r="B218" s="69"/>
      <c r="C218" s="69"/>
      <c r="D218" s="69"/>
      <c r="E218" s="69"/>
      <c r="F218" s="69"/>
      <c r="G218" s="69"/>
      <c r="H218" s="69"/>
      <c r="I218" s="8"/>
      <c r="J218" s="68"/>
      <c r="K218" s="33"/>
    </row>
    <row r="219" ht="66.75" customHeight="1">
      <c r="A219" s="69"/>
      <c r="B219" s="69"/>
      <c r="C219" s="69"/>
      <c r="D219" s="69"/>
      <c r="E219" s="69"/>
      <c r="F219" s="69"/>
      <c r="G219" s="69"/>
      <c r="H219" s="69"/>
      <c r="I219" s="8"/>
      <c r="J219" s="68"/>
      <c r="K219" s="33"/>
    </row>
    <row r="220" ht="66.75" customHeight="1">
      <c r="A220" s="69"/>
      <c r="B220" s="69"/>
      <c r="C220" s="69"/>
      <c r="D220" s="69"/>
      <c r="E220" s="69"/>
      <c r="F220" s="69"/>
      <c r="G220" s="69"/>
      <c r="H220" s="69"/>
      <c r="I220" s="8"/>
      <c r="J220" s="68"/>
      <c r="K220" s="33"/>
    </row>
    <row r="221" ht="66.75" customHeight="1">
      <c r="A221" s="69"/>
      <c r="B221" s="69"/>
      <c r="C221" s="69"/>
      <c r="D221" s="69"/>
      <c r="E221" s="69"/>
      <c r="F221" s="69"/>
      <c r="G221" s="69"/>
      <c r="H221" s="69"/>
      <c r="I221" s="8"/>
      <c r="J221" s="68"/>
      <c r="K221" s="33"/>
    </row>
    <row r="222" ht="66.75" customHeight="1">
      <c r="A222" s="69"/>
      <c r="B222" s="69"/>
      <c r="C222" s="69"/>
      <c r="D222" s="69"/>
      <c r="E222" s="69"/>
      <c r="F222" s="69"/>
      <c r="G222" s="69"/>
      <c r="H222" s="69"/>
      <c r="I222" s="8"/>
      <c r="J222" s="68"/>
      <c r="K222" s="33"/>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I11:I13"/>
    <mergeCell ref="J11:J13"/>
    <mergeCell ref="I15:I18"/>
    <mergeCell ref="J15:J18"/>
    <mergeCell ref="H19:H23"/>
    <mergeCell ref="I19:I21"/>
    <mergeCell ref="J19:J21"/>
    <mergeCell ref="I22:I23"/>
    <mergeCell ref="J22:J23"/>
    <mergeCell ref="D16:E16"/>
    <mergeCell ref="D17:E17"/>
    <mergeCell ref="D19:E19"/>
    <mergeCell ref="D20:E20"/>
    <mergeCell ref="D21:E21"/>
    <mergeCell ref="D22:E22"/>
    <mergeCell ref="E3:J3"/>
    <mergeCell ref="E4:J4"/>
    <mergeCell ref="C6:F6"/>
    <mergeCell ref="H7:H18"/>
    <mergeCell ref="I7:I10"/>
    <mergeCell ref="J7:J10"/>
    <mergeCell ref="D8:E14"/>
    <mergeCell ref="D18:E18"/>
  </mergeCells>
  <dataValidations>
    <dataValidation type="list" allowBlank="1" showErrorMessage="1" sqref="K22">
      <formula1>"Seleccione aquí canal a utilizar,Glomo,Senda,Gema,Datio,Altamira,Nacar,otros"</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4.0"/>
    <col customWidth="1" min="2" max="2" width="3.88"/>
    <col customWidth="1" min="3" max="3" width="36.13"/>
    <col customWidth="1" min="4" max="5" width="32.13"/>
    <col customWidth="1" min="6" max="6" width="42.13"/>
    <col customWidth="1" min="7" max="7" width="32.13"/>
    <col customWidth="1" min="8" max="8" width="34.0"/>
    <col customWidth="1" min="9" max="9" width="8.75"/>
    <col hidden="1" min="10" max="29" width="12.63"/>
  </cols>
  <sheetData>
    <row r="1" ht="13.5" customHeight="1">
      <c r="A1" s="2"/>
      <c r="B1" s="2"/>
      <c r="C1" s="6" t="s">
        <v>2</v>
      </c>
      <c r="I1" s="8"/>
      <c r="J1" s="8"/>
      <c r="K1" s="8"/>
      <c r="L1" s="8"/>
      <c r="M1" s="8"/>
      <c r="N1" s="8"/>
      <c r="O1" s="8"/>
      <c r="P1" s="8"/>
      <c r="Q1" s="8"/>
      <c r="R1" s="8"/>
      <c r="S1" s="8"/>
      <c r="T1" s="8"/>
      <c r="U1" s="8"/>
      <c r="V1" s="8"/>
      <c r="W1" s="8"/>
      <c r="X1" s="8"/>
      <c r="Y1" s="8"/>
      <c r="Z1" s="8"/>
      <c r="AA1" s="8"/>
      <c r="AB1" s="8"/>
      <c r="AC1" s="8"/>
    </row>
    <row r="2" ht="13.5" customHeight="1">
      <c r="A2" s="2"/>
      <c r="B2" s="6"/>
      <c r="I2" s="8"/>
      <c r="J2" s="1"/>
      <c r="K2" s="1"/>
      <c r="L2" s="1"/>
      <c r="M2" s="1"/>
      <c r="N2" s="1"/>
      <c r="O2" s="1"/>
      <c r="P2" s="1"/>
      <c r="Q2" s="1"/>
      <c r="R2" s="1"/>
      <c r="S2" s="1"/>
      <c r="T2" s="1"/>
      <c r="U2" s="1"/>
      <c r="V2" s="1"/>
      <c r="W2" s="1"/>
      <c r="X2" s="1"/>
      <c r="Y2" s="1"/>
      <c r="Z2" s="1"/>
      <c r="AA2" s="1"/>
      <c r="AB2" s="1"/>
      <c r="AC2" s="1"/>
    </row>
    <row r="3" ht="66.75" customHeight="1">
      <c r="A3" s="2"/>
      <c r="B3" s="6"/>
      <c r="I3" s="6"/>
      <c r="J3" s="6"/>
      <c r="K3" s="1"/>
      <c r="L3" s="1"/>
      <c r="M3" s="1"/>
      <c r="N3" s="1"/>
      <c r="O3" s="1"/>
      <c r="P3" s="1"/>
      <c r="Q3" s="1"/>
      <c r="R3" s="1"/>
      <c r="S3" s="1"/>
      <c r="T3" s="1"/>
      <c r="U3" s="1"/>
      <c r="V3" s="1"/>
      <c r="W3" s="1"/>
      <c r="X3" s="1"/>
      <c r="Y3" s="1"/>
      <c r="Z3" s="1"/>
      <c r="AA3" s="1"/>
      <c r="AB3" s="1"/>
      <c r="AC3" s="1"/>
    </row>
    <row r="4" ht="85.5" customHeight="1">
      <c r="A4" s="2"/>
      <c r="B4" s="2"/>
      <c r="C4" s="12" t="s">
        <v>11</v>
      </c>
      <c r="D4" s="12" t="s">
        <v>14</v>
      </c>
      <c r="E4" s="16" t="s">
        <v>15</v>
      </c>
      <c r="F4" s="12" t="s">
        <v>17</v>
      </c>
      <c r="G4" s="12" t="s">
        <v>18</v>
      </c>
      <c r="H4" s="18" t="s">
        <v>22</v>
      </c>
      <c r="I4" s="8"/>
      <c r="J4" s="1"/>
      <c r="K4" s="1"/>
      <c r="L4" s="1"/>
      <c r="M4" s="1"/>
      <c r="N4" s="1"/>
      <c r="O4" s="1"/>
      <c r="P4" s="1"/>
      <c r="Q4" s="1"/>
      <c r="R4" s="1"/>
      <c r="S4" s="1"/>
      <c r="T4" s="1"/>
      <c r="U4" s="1"/>
      <c r="V4" s="1"/>
      <c r="W4" s="1"/>
      <c r="X4" s="1"/>
      <c r="Y4" s="1"/>
      <c r="Z4" s="1"/>
      <c r="AA4" s="1"/>
      <c r="AB4" s="1"/>
      <c r="AC4" s="1"/>
    </row>
    <row r="5" ht="122.25" customHeight="1">
      <c r="A5" s="20"/>
      <c r="B5" s="23" t="s">
        <v>26</v>
      </c>
      <c r="C5" s="30" t="s">
        <v>30</v>
      </c>
      <c r="D5" s="30" t="s">
        <v>35</v>
      </c>
      <c r="E5" s="30" t="s">
        <v>37</v>
      </c>
      <c r="F5" s="30" t="s">
        <v>38</v>
      </c>
      <c r="G5" s="30" t="s">
        <v>39</v>
      </c>
      <c r="H5" s="30" t="s">
        <v>40</v>
      </c>
      <c r="I5" s="33"/>
    </row>
    <row r="6" ht="69.0" customHeight="1">
      <c r="A6" s="20"/>
      <c r="B6" s="20"/>
      <c r="C6" s="30" t="s">
        <v>42</v>
      </c>
      <c r="D6" s="30" t="s">
        <v>43</v>
      </c>
      <c r="E6" s="30" t="s">
        <v>44</v>
      </c>
      <c r="F6" s="30" t="s">
        <v>43</v>
      </c>
      <c r="G6" s="30" t="s">
        <v>39</v>
      </c>
      <c r="H6" s="30" t="s">
        <v>45</v>
      </c>
      <c r="I6" s="33"/>
    </row>
    <row r="7" ht="96.0" customHeight="1">
      <c r="A7" s="20"/>
      <c r="B7" s="20"/>
      <c r="C7" s="30" t="s">
        <v>46</v>
      </c>
      <c r="D7" s="30" t="s">
        <v>47</v>
      </c>
      <c r="E7" s="30" t="s">
        <v>48</v>
      </c>
      <c r="F7" s="30" t="s">
        <v>47</v>
      </c>
      <c r="G7" s="30" t="s">
        <v>39</v>
      </c>
      <c r="H7" s="30" t="s">
        <v>50</v>
      </c>
      <c r="I7" s="33"/>
    </row>
    <row r="8" ht="53.25" customHeight="1">
      <c r="A8" s="20"/>
      <c r="B8" s="20"/>
      <c r="C8" s="30"/>
      <c r="D8" s="41"/>
      <c r="E8" s="41"/>
      <c r="F8" s="44"/>
      <c r="G8" s="41"/>
      <c r="H8" s="41"/>
      <c r="I8" s="33"/>
    </row>
    <row r="9" ht="53.25" customHeight="1">
      <c r="A9" s="20"/>
      <c r="B9" s="20"/>
      <c r="C9" s="30"/>
      <c r="D9" s="41"/>
      <c r="E9" s="41"/>
      <c r="F9" s="44"/>
      <c r="G9" s="41"/>
      <c r="H9" s="41"/>
      <c r="I9" s="33"/>
    </row>
    <row r="10" ht="53.25" customHeight="1">
      <c r="A10" s="20"/>
      <c r="B10" s="20"/>
      <c r="C10" s="30"/>
      <c r="D10" s="41"/>
      <c r="E10" s="41"/>
      <c r="F10" s="44"/>
      <c r="G10" s="41"/>
      <c r="H10" s="41"/>
      <c r="I10" s="33"/>
    </row>
    <row r="11" ht="53.25" customHeight="1">
      <c r="A11" s="20"/>
      <c r="B11" s="20"/>
      <c r="C11" s="41"/>
      <c r="D11" s="41"/>
      <c r="E11" s="41"/>
      <c r="F11" s="44"/>
      <c r="G11" s="41"/>
      <c r="H11" s="41"/>
      <c r="I11" s="33"/>
    </row>
    <row r="12" ht="53.25" customHeight="1">
      <c r="A12" s="20"/>
      <c r="B12" s="20"/>
      <c r="C12" s="41"/>
      <c r="D12" s="41"/>
      <c r="E12" s="41"/>
      <c r="F12" s="44"/>
      <c r="G12" s="41"/>
      <c r="H12" s="41"/>
      <c r="I12" s="33"/>
    </row>
    <row r="13" ht="53.25" customHeight="1">
      <c r="A13" s="20"/>
      <c r="B13" s="20"/>
      <c r="C13" s="41"/>
      <c r="D13" s="41"/>
      <c r="E13" s="41"/>
      <c r="F13" s="44"/>
      <c r="G13" s="41"/>
      <c r="H13" s="41"/>
      <c r="I13" s="33"/>
    </row>
    <row r="14" ht="53.25" customHeight="1">
      <c r="A14" s="20"/>
      <c r="B14" s="20"/>
      <c r="C14" s="41"/>
      <c r="D14" s="41"/>
      <c r="E14" s="41"/>
      <c r="F14" s="44"/>
      <c r="G14" s="41"/>
      <c r="H14" s="41"/>
      <c r="I14" s="33"/>
    </row>
    <row r="15" ht="53.25" customHeight="1">
      <c r="A15" s="20"/>
      <c r="B15" s="20"/>
      <c r="C15" s="41"/>
      <c r="D15" s="41"/>
      <c r="E15" s="41"/>
      <c r="F15" s="44"/>
      <c r="G15" s="41"/>
      <c r="H15" s="41"/>
      <c r="I15" s="33"/>
    </row>
    <row r="16" ht="53.25" customHeight="1">
      <c r="A16" s="20"/>
      <c r="B16" s="20"/>
      <c r="C16" s="41"/>
      <c r="D16" s="41"/>
      <c r="E16" s="41"/>
      <c r="F16" s="44"/>
      <c r="G16" s="41"/>
      <c r="H16" s="41"/>
      <c r="I16" s="33"/>
    </row>
    <row r="17" ht="53.25" customHeight="1">
      <c r="A17" s="20"/>
      <c r="B17" s="20"/>
      <c r="C17" s="41"/>
      <c r="D17" s="41"/>
      <c r="E17" s="41"/>
      <c r="F17" s="44"/>
      <c r="G17" s="41"/>
      <c r="H17" s="41"/>
      <c r="I17" s="33"/>
    </row>
    <row r="18" ht="53.25" customHeight="1">
      <c r="A18" s="20"/>
      <c r="B18" s="20"/>
      <c r="C18" s="41"/>
      <c r="D18" s="41"/>
      <c r="E18" s="41"/>
      <c r="F18" s="44"/>
      <c r="G18" s="41"/>
      <c r="H18" s="41"/>
      <c r="I18" s="33"/>
    </row>
    <row r="19" ht="53.25" customHeight="1">
      <c r="A19" s="20"/>
      <c r="B19" s="20"/>
      <c r="C19" s="41"/>
      <c r="D19" s="41"/>
      <c r="E19" s="41"/>
      <c r="F19" s="44"/>
      <c r="G19" s="41"/>
      <c r="H19" s="41"/>
      <c r="I19" s="33"/>
    </row>
    <row r="20" ht="53.25" customHeight="1">
      <c r="A20" s="20"/>
      <c r="B20" s="20"/>
      <c r="C20" s="41"/>
      <c r="D20" s="41"/>
      <c r="E20" s="41"/>
      <c r="F20" s="44"/>
      <c r="G20" s="41"/>
      <c r="H20" s="41"/>
      <c r="I20" s="64" t="s">
        <v>71</v>
      </c>
    </row>
    <row r="21" ht="53.25" customHeight="1">
      <c r="A21" s="20"/>
      <c r="B21" s="20"/>
      <c r="C21" s="41"/>
      <c r="D21" s="41"/>
      <c r="E21" s="41"/>
      <c r="F21" s="44"/>
      <c r="G21" s="41"/>
      <c r="H21" s="41"/>
      <c r="I21" s="33"/>
    </row>
    <row r="22" ht="51.0" customHeight="1">
      <c r="A22" s="20"/>
      <c r="B22" s="20"/>
      <c r="C22" s="67"/>
      <c r="D22" s="8"/>
      <c r="E22" s="68"/>
      <c r="F22" s="33"/>
      <c r="G22" s="68"/>
      <c r="H22" s="68"/>
      <c r="I22" s="33"/>
    </row>
    <row r="23" ht="66.75" customHeight="1">
      <c r="A23" s="69"/>
      <c r="B23" s="69"/>
      <c r="C23" s="69"/>
      <c r="D23" s="8"/>
      <c r="E23" s="68"/>
      <c r="F23" s="33"/>
      <c r="G23" s="68"/>
      <c r="H23" s="68"/>
      <c r="I23" s="33"/>
    </row>
    <row r="24" ht="66.75" customHeight="1">
      <c r="A24" s="69"/>
      <c r="B24" s="69"/>
      <c r="C24" s="69"/>
      <c r="D24" s="8"/>
      <c r="E24" s="68"/>
      <c r="F24" s="33"/>
      <c r="G24" s="68"/>
      <c r="H24" s="68"/>
      <c r="I24" s="33"/>
    </row>
    <row r="25" ht="66.75" customHeight="1">
      <c r="A25" s="69"/>
      <c r="B25" s="69"/>
      <c r="C25" s="69"/>
      <c r="D25" s="8"/>
      <c r="E25" s="68"/>
      <c r="F25" s="33"/>
      <c r="G25" s="68"/>
      <c r="H25" s="68"/>
      <c r="I25" s="33"/>
    </row>
    <row r="26" ht="66.75" customHeight="1">
      <c r="A26" s="69"/>
      <c r="B26" s="69"/>
      <c r="C26" s="69"/>
      <c r="D26" s="8"/>
      <c r="E26" s="68"/>
      <c r="F26" s="33"/>
      <c r="G26" s="68"/>
      <c r="H26" s="68"/>
      <c r="I26" s="33"/>
    </row>
    <row r="27" ht="66.75" customHeight="1">
      <c r="A27" s="69"/>
      <c r="B27" s="69"/>
      <c r="C27" s="69"/>
      <c r="D27" s="8"/>
      <c r="E27" s="68"/>
      <c r="F27" s="33"/>
      <c r="G27" s="68"/>
      <c r="H27" s="68"/>
      <c r="I27" s="33"/>
    </row>
    <row r="28" ht="66.75" customHeight="1">
      <c r="A28" s="69"/>
      <c r="B28" s="69"/>
      <c r="C28" s="69"/>
      <c r="D28" s="8"/>
      <c r="E28" s="68"/>
      <c r="F28" s="33"/>
      <c r="G28" s="68"/>
      <c r="H28" s="68"/>
      <c r="I28" s="33"/>
    </row>
    <row r="29" ht="66.75" customHeight="1">
      <c r="A29" s="69"/>
      <c r="B29" s="69"/>
      <c r="C29" s="69"/>
      <c r="D29" s="8"/>
      <c r="E29" s="68"/>
      <c r="F29" s="33"/>
      <c r="G29" s="68"/>
      <c r="H29" s="68"/>
      <c r="I29" s="33"/>
    </row>
    <row r="30" ht="66.75" customHeight="1">
      <c r="A30" s="69"/>
      <c r="B30" s="69"/>
      <c r="C30" s="69"/>
      <c r="D30" s="8"/>
      <c r="E30" s="68"/>
      <c r="F30" s="33"/>
      <c r="G30" s="68"/>
      <c r="H30" s="68"/>
      <c r="I30" s="33"/>
    </row>
    <row r="31" ht="66.75" customHeight="1">
      <c r="A31" s="69"/>
      <c r="B31" s="69"/>
      <c r="C31" s="69"/>
      <c r="D31" s="8"/>
      <c r="E31" s="68"/>
      <c r="F31" s="33"/>
      <c r="G31" s="68"/>
      <c r="H31" s="68"/>
      <c r="I31" s="33"/>
    </row>
    <row r="32" ht="66.75" customHeight="1">
      <c r="A32" s="69"/>
      <c r="B32" s="69"/>
      <c r="C32" s="69"/>
      <c r="D32" s="8"/>
      <c r="E32" s="68"/>
      <c r="F32" s="33"/>
      <c r="G32" s="68"/>
      <c r="H32" s="68"/>
      <c r="I32" s="33"/>
    </row>
    <row r="33" ht="66.75" customHeight="1">
      <c r="A33" s="69"/>
      <c r="B33" s="69"/>
      <c r="C33" s="69"/>
      <c r="D33" s="8"/>
      <c r="E33" s="68"/>
      <c r="F33" s="33"/>
      <c r="G33" s="68"/>
      <c r="H33" s="68"/>
      <c r="I33" s="33"/>
    </row>
    <row r="34" ht="66.75" customHeight="1">
      <c r="A34" s="69"/>
      <c r="B34" s="69"/>
      <c r="C34" s="69"/>
      <c r="D34" s="8"/>
      <c r="E34" s="68"/>
      <c r="F34" s="33"/>
      <c r="G34" s="68"/>
      <c r="H34" s="68"/>
      <c r="I34" s="33"/>
    </row>
    <row r="35" ht="66.75" customHeight="1">
      <c r="A35" s="69"/>
      <c r="B35" s="69"/>
      <c r="C35" s="69"/>
      <c r="D35" s="8"/>
      <c r="E35" s="68"/>
      <c r="F35" s="33"/>
      <c r="G35" s="68"/>
      <c r="H35" s="68"/>
      <c r="I35" s="33"/>
    </row>
    <row r="36" ht="66.75" customHeight="1">
      <c r="A36" s="69"/>
      <c r="B36" s="69"/>
      <c r="C36" s="69"/>
      <c r="D36" s="8"/>
      <c r="E36" s="68"/>
      <c r="F36" s="33"/>
      <c r="G36" s="68"/>
      <c r="H36" s="68"/>
      <c r="I36" s="33"/>
    </row>
    <row r="37" ht="66.75" customHeight="1">
      <c r="A37" s="69"/>
      <c r="B37" s="69"/>
      <c r="C37" s="69"/>
      <c r="D37" s="8"/>
      <c r="E37" s="68"/>
      <c r="F37" s="33"/>
      <c r="G37" s="68"/>
      <c r="H37" s="68"/>
      <c r="I37" s="33"/>
    </row>
    <row r="38" ht="66.75" customHeight="1">
      <c r="A38" s="69"/>
      <c r="B38" s="69"/>
      <c r="C38" s="69"/>
      <c r="D38" s="8"/>
      <c r="E38" s="68"/>
      <c r="F38" s="33"/>
      <c r="G38" s="68"/>
      <c r="H38" s="68"/>
      <c r="I38" s="33"/>
    </row>
    <row r="39" ht="66.75" customHeight="1">
      <c r="A39" s="69"/>
      <c r="B39" s="69"/>
      <c r="C39" s="69"/>
      <c r="D39" s="8"/>
      <c r="E39" s="68"/>
      <c r="F39" s="33"/>
      <c r="G39" s="68"/>
      <c r="H39" s="68"/>
      <c r="I39" s="33"/>
    </row>
    <row r="40" ht="66.75" customHeight="1">
      <c r="A40" s="69"/>
      <c r="B40" s="69"/>
      <c r="C40" s="69"/>
      <c r="D40" s="8"/>
      <c r="E40" s="68"/>
      <c r="F40" s="33"/>
      <c r="G40" s="68"/>
      <c r="H40" s="68"/>
      <c r="I40" s="33"/>
    </row>
    <row r="41" ht="66.75" customHeight="1">
      <c r="A41" s="69"/>
      <c r="B41" s="69"/>
      <c r="C41" s="69"/>
      <c r="D41" s="8"/>
      <c r="E41" s="68"/>
      <c r="F41" s="33"/>
      <c r="G41" s="68"/>
      <c r="H41" s="68"/>
      <c r="I41" s="33"/>
    </row>
    <row r="42" ht="66.75" customHeight="1">
      <c r="A42" s="69"/>
      <c r="B42" s="69"/>
      <c r="C42" s="69"/>
      <c r="D42" s="8"/>
      <c r="E42" s="68"/>
      <c r="F42" s="33"/>
      <c r="G42" s="68"/>
      <c r="H42" s="68"/>
      <c r="I42" s="33"/>
    </row>
    <row r="43" ht="66.75" customHeight="1">
      <c r="A43" s="69"/>
      <c r="B43" s="69"/>
      <c r="C43" s="69"/>
      <c r="D43" s="8"/>
      <c r="E43" s="68"/>
      <c r="F43" s="33"/>
      <c r="G43" s="68"/>
      <c r="H43" s="68"/>
      <c r="I43" s="33"/>
    </row>
    <row r="44" ht="66.75" customHeight="1">
      <c r="A44" s="69"/>
      <c r="B44" s="69"/>
      <c r="C44" s="69"/>
      <c r="D44" s="8"/>
      <c r="E44" s="68"/>
      <c r="F44" s="33"/>
      <c r="G44" s="68"/>
      <c r="H44" s="68"/>
      <c r="I44" s="33"/>
    </row>
    <row r="45" ht="66.75" customHeight="1">
      <c r="A45" s="69"/>
      <c r="B45" s="69"/>
      <c r="C45" s="69"/>
      <c r="D45" s="8"/>
      <c r="E45" s="68"/>
      <c r="F45" s="33"/>
      <c r="G45" s="68"/>
      <c r="H45" s="68"/>
      <c r="I45" s="33"/>
    </row>
    <row r="46" ht="66.75" customHeight="1">
      <c r="A46" s="69"/>
      <c r="B46" s="69"/>
      <c r="C46" s="69"/>
      <c r="D46" s="8"/>
      <c r="E46" s="68"/>
      <c r="F46" s="33"/>
      <c r="G46" s="68"/>
      <c r="H46" s="68"/>
      <c r="I46" s="33"/>
    </row>
    <row r="47" ht="66.75" customHeight="1">
      <c r="A47" s="69"/>
      <c r="B47" s="69"/>
      <c r="C47" s="69"/>
      <c r="D47" s="8"/>
      <c r="E47" s="68"/>
      <c r="F47" s="33"/>
      <c r="G47" s="68"/>
      <c r="H47" s="68"/>
      <c r="I47" s="33"/>
    </row>
    <row r="48" ht="66.75" customHeight="1">
      <c r="A48" s="69"/>
      <c r="B48" s="69"/>
      <c r="C48" s="69"/>
      <c r="D48" s="8"/>
      <c r="E48" s="68"/>
      <c r="F48" s="33"/>
      <c r="G48" s="68"/>
      <c r="H48" s="68"/>
      <c r="I48" s="33"/>
    </row>
    <row r="49" ht="66.75" customHeight="1">
      <c r="A49" s="69"/>
      <c r="B49" s="69"/>
      <c r="C49" s="69"/>
      <c r="D49" s="8"/>
      <c r="E49" s="68"/>
      <c r="F49" s="33"/>
      <c r="G49" s="68"/>
      <c r="H49" s="68"/>
      <c r="I49" s="33"/>
    </row>
    <row r="50" ht="66.75" customHeight="1">
      <c r="A50" s="69"/>
      <c r="B50" s="69"/>
      <c r="C50" s="69"/>
      <c r="D50" s="8"/>
      <c r="E50" s="68"/>
      <c r="F50" s="33"/>
      <c r="G50" s="68"/>
      <c r="H50" s="68"/>
      <c r="I50" s="33"/>
    </row>
    <row r="51" ht="66.75" customHeight="1">
      <c r="A51" s="69"/>
      <c r="B51" s="69"/>
      <c r="C51" s="69"/>
      <c r="D51" s="8"/>
      <c r="E51" s="68"/>
      <c r="F51" s="33"/>
      <c r="G51" s="68"/>
      <c r="H51" s="68"/>
      <c r="I51" s="33"/>
    </row>
    <row r="52" ht="66.75" customHeight="1">
      <c r="A52" s="69"/>
      <c r="B52" s="69"/>
      <c r="C52" s="69"/>
      <c r="D52" s="8"/>
      <c r="E52" s="68"/>
      <c r="F52" s="33"/>
      <c r="G52" s="68"/>
      <c r="H52" s="68"/>
      <c r="I52" s="33"/>
    </row>
    <row r="53" ht="66.75" customHeight="1">
      <c r="A53" s="69"/>
      <c r="B53" s="69"/>
      <c r="C53" s="69"/>
      <c r="D53" s="8"/>
      <c r="E53" s="68"/>
      <c r="F53" s="33"/>
      <c r="G53" s="68"/>
      <c r="H53" s="68"/>
      <c r="I53" s="33"/>
    </row>
    <row r="54" ht="66.75" customHeight="1">
      <c r="A54" s="69"/>
      <c r="B54" s="69"/>
      <c r="C54" s="69"/>
      <c r="D54" s="8"/>
      <c r="E54" s="68"/>
      <c r="F54" s="33"/>
      <c r="G54" s="68"/>
      <c r="H54" s="68"/>
      <c r="I54" s="33"/>
    </row>
    <row r="55" ht="66.75" customHeight="1">
      <c r="A55" s="69"/>
      <c r="B55" s="69"/>
      <c r="C55" s="69"/>
      <c r="D55" s="8"/>
      <c r="E55" s="68"/>
      <c r="F55" s="33"/>
      <c r="G55" s="68"/>
      <c r="H55" s="68"/>
      <c r="I55" s="33"/>
    </row>
    <row r="56" ht="66.75" customHeight="1">
      <c r="A56" s="69"/>
      <c r="B56" s="69"/>
      <c r="C56" s="69"/>
      <c r="D56" s="8"/>
      <c r="E56" s="68"/>
      <c r="F56" s="33"/>
      <c r="G56" s="68"/>
      <c r="H56" s="68"/>
      <c r="I56" s="33"/>
    </row>
    <row r="57" ht="66.75" customHeight="1">
      <c r="A57" s="69"/>
      <c r="B57" s="69"/>
      <c r="C57" s="69"/>
      <c r="D57" s="8"/>
      <c r="E57" s="68"/>
      <c r="F57" s="33"/>
      <c r="G57" s="68"/>
      <c r="H57" s="68"/>
      <c r="I57" s="33"/>
    </row>
    <row r="58" ht="66.75" customHeight="1">
      <c r="A58" s="69"/>
      <c r="B58" s="69"/>
      <c r="C58" s="69"/>
      <c r="D58" s="8"/>
      <c r="E58" s="68"/>
      <c r="F58" s="33"/>
      <c r="G58" s="68"/>
      <c r="H58" s="68"/>
      <c r="I58" s="33"/>
    </row>
    <row r="59" ht="66.75" customHeight="1">
      <c r="A59" s="69"/>
      <c r="B59" s="69"/>
      <c r="C59" s="69"/>
      <c r="D59" s="8"/>
      <c r="E59" s="68"/>
      <c r="F59" s="33"/>
      <c r="G59" s="68"/>
      <c r="H59" s="68"/>
      <c r="I59" s="33"/>
    </row>
    <row r="60" ht="66.75" customHeight="1">
      <c r="A60" s="69"/>
      <c r="B60" s="69"/>
      <c r="C60" s="69"/>
      <c r="D60" s="8"/>
      <c r="E60" s="68"/>
      <c r="F60" s="33"/>
      <c r="G60" s="68"/>
      <c r="H60" s="68"/>
      <c r="I60" s="33"/>
    </row>
    <row r="61" ht="66.75" customHeight="1">
      <c r="A61" s="69"/>
      <c r="B61" s="69"/>
      <c r="C61" s="69"/>
      <c r="D61" s="8"/>
      <c r="E61" s="68"/>
      <c r="F61" s="33"/>
      <c r="G61" s="68"/>
      <c r="H61" s="68"/>
      <c r="I61" s="33"/>
    </row>
    <row r="62" ht="66.75" customHeight="1">
      <c r="A62" s="69"/>
      <c r="B62" s="69"/>
      <c r="C62" s="69"/>
      <c r="D62" s="8"/>
      <c r="E62" s="68"/>
      <c r="F62" s="33"/>
      <c r="G62" s="68"/>
      <c r="H62" s="68"/>
      <c r="I62" s="33"/>
    </row>
    <row r="63" ht="66.75" customHeight="1">
      <c r="A63" s="69"/>
      <c r="B63" s="69"/>
      <c r="C63" s="69"/>
      <c r="D63" s="8"/>
      <c r="E63" s="68"/>
      <c r="F63" s="33"/>
      <c r="G63" s="68"/>
      <c r="H63" s="68"/>
      <c r="I63" s="33"/>
    </row>
    <row r="64" ht="66.75" customHeight="1">
      <c r="A64" s="69"/>
      <c r="B64" s="69"/>
      <c r="C64" s="69"/>
      <c r="D64" s="8"/>
      <c r="E64" s="68"/>
      <c r="F64" s="33"/>
      <c r="G64" s="68"/>
      <c r="H64" s="68"/>
      <c r="I64" s="33"/>
    </row>
    <row r="65" ht="66.75" customHeight="1">
      <c r="A65" s="69"/>
      <c r="B65" s="69"/>
      <c r="C65" s="69"/>
      <c r="D65" s="8"/>
      <c r="E65" s="68"/>
      <c r="F65" s="33"/>
      <c r="G65" s="68"/>
      <c r="H65" s="68"/>
      <c r="I65" s="33"/>
    </row>
    <row r="66" ht="66.75" customHeight="1">
      <c r="A66" s="69"/>
      <c r="B66" s="69"/>
      <c r="C66" s="69"/>
      <c r="D66" s="8"/>
      <c r="E66" s="68"/>
      <c r="F66" s="33"/>
      <c r="G66" s="68"/>
      <c r="H66" s="68"/>
      <c r="I66" s="33"/>
    </row>
    <row r="67" ht="66.75" customHeight="1">
      <c r="A67" s="69"/>
      <c r="B67" s="69"/>
      <c r="C67" s="69"/>
      <c r="D67" s="8"/>
      <c r="E67" s="68"/>
      <c r="F67" s="33"/>
      <c r="G67" s="68"/>
      <c r="H67" s="68"/>
      <c r="I67" s="33"/>
    </row>
    <row r="68" ht="66.75" customHeight="1">
      <c r="A68" s="69"/>
      <c r="B68" s="69"/>
      <c r="C68" s="69"/>
      <c r="D68" s="8"/>
      <c r="E68" s="68"/>
      <c r="F68" s="33"/>
      <c r="G68" s="68"/>
      <c r="H68" s="68"/>
      <c r="I68" s="33"/>
    </row>
    <row r="69" ht="66.75" customHeight="1">
      <c r="A69" s="69"/>
      <c r="B69" s="69"/>
      <c r="C69" s="69"/>
      <c r="D69" s="8"/>
      <c r="E69" s="68"/>
      <c r="F69" s="33"/>
      <c r="G69" s="68"/>
      <c r="H69" s="68"/>
      <c r="I69" s="33"/>
    </row>
    <row r="70" ht="66.75" customHeight="1">
      <c r="A70" s="69"/>
      <c r="B70" s="69"/>
      <c r="C70" s="69"/>
      <c r="D70" s="8"/>
      <c r="E70" s="68"/>
      <c r="F70" s="33"/>
      <c r="G70" s="68"/>
      <c r="H70" s="68"/>
      <c r="I70" s="33"/>
    </row>
    <row r="71" ht="66.75" customHeight="1">
      <c r="A71" s="69"/>
      <c r="B71" s="69"/>
      <c r="C71" s="69"/>
      <c r="D71" s="8"/>
      <c r="E71" s="68"/>
      <c r="F71" s="33"/>
      <c r="G71" s="68"/>
      <c r="H71" s="68"/>
      <c r="I71" s="33"/>
    </row>
    <row r="72" ht="66.75" customHeight="1">
      <c r="A72" s="69"/>
      <c r="B72" s="69"/>
      <c r="C72" s="69"/>
      <c r="D72" s="8"/>
      <c r="E72" s="68"/>
      <c r="F72" s="33"/>
      <c r="G72" s="68"/>
      <c r="H72" s="68"/>
      <c r="I72" s="33"/>
    </row>
    <row r="73" ht="66.75" customHeight="1">
      <c r="A73" s="69"/>
      <c r="B73" s="69"/>
      <c r="C73" s="69"/>
      <c r="D73" s="8"/>
      <c r="E73" s="68"/>
      <c r="F73" s="33"/>
      <c r="G73" s="68"/>
      <c r="H73" s="68"/>
      <c r="I73" s="33"/>
    </row>
    <row r="74" ht="66.75" customHeight="1">
      <c r="A74" s="69"/>
      <c r="B74" s="69"/>
      <c r="C74" s="69"/>
      <c r="D74" s="8"/>
      <c r="E74" s="68"/>
      <c r="F74" s="33"/>
      <c r="G74" s="68"/>
      <c r="H74" s="68"/>
      <c r="I74" s="33"/>
    </row>
    <row r="75" ht="66.75" customHeight="1">
      <c r="A75" s="69"/>
      <c r="B75" s="69"/>
      <c r="C75" s="69"/>
      <c r="D75" s="8"/>
      <c r="E75" s="68"/>
      <c r="F75" s="33"/>
      <c r="G75" s="68"/>
      <c r="H75" s="68"/>
      <c r="I75" s="33"/>
    </row>
    <row r="76" ht="66.75" customHeight="1">
      <c r="A76" s="69"/>
      <c r="B76" s="69"/>
      <c r="C76" s="69"/>
      <c r="D76" s="8"/>
      <c r="E76" s="68"/>
      <c r="F76" s="33"/>
      <c r="G76" s="68"/>
      <c r="H76" s="68"/>
      <c r="I76" s="33"/>
    </row>
    <row r="77" ht="66.75" customHeight="1">
      <c r="A77" s="69"/>
      <c r="B77" s="69"/>
      <c r="C77" s="69"/>
      <c r="D77" s="8"/>
      <c r="E77" s="68"/>
      <c r="F77" s="33"/>
      <c r="G77" s="68"/>
      <c r="H77" s="68"/>
      <c r="I77" s="33"/>
    </row>
    <row r="78" ht="66.75" customHeight="1">
      <c r="A78" s="69"/>
      <c r="B78" s="69"/>
      <c r="C78" s="69"/>
      <c r="D78" s="8"/>
      <c r="E78" s="68"/>
      <c r="F78" s="33"/>
      <c r="G78" s="68"/>
      <c r="H78" s="68"/>
      <c r="I78" s="33"/>
    </row>
    <row r="79" ht="66.75" customHeight="1">
      <c r="A79" s="69"/>
      <c r="B79" s="69"/>
      <c r="C79" s="69"/>
      <c r="D79" s="8"/>
      <c r="E79" s="68"/>
      <c r="F79" s="33"/>
      <c r="G79" s="68"/>
      <c r="H79" s="68"/>
      <c r="I79" s="33"/>
    </row>
    <row r="80" ht="66.75" customHeight="1">
      <c r="A80" s="69"/>
      <c r="B80" s="69"/>
      <c r="C80" s="69"/>
      <c r="D80" s="8"/>
      <c r="E80" s="68"/>
      <c r="F80" s="33"/>
      <c r="G80" s="68"/>
      <c r="H80" s="68"/>
      <c r="I80" s="33"/>
    </row>
    <row r="81" ht="66.75" customHeight="1">
      <c r="A81" s="69"/>
      <c r="B81" s="69"/>
      <c r="C81" s="69"/>
      <c r="D81" s="8"/>
      <c r="E81" s="68"/>
      <c r="F81" s="33"/>
      <c r="G81" s="68"/>
      <c r="H81" s="68"/>
      <c r="I81" s="33"/>
    </row>
    <row r="82" ht="66.75" customHeight="1">
      <c r="A82" s="69"/>
      <c r="B82" s="69"/>
      <c r="C82" s="69"/>
      <c r="D82" s="8"/>
      <c r="E82" s="68"/>
      <c r="F82" s="33"/>
      <c r="G82" s="68"/>
      <c r="H82" s="68"/>
      <c r="I82" s="33"/>
    </row>
    <row r="83" ht="66.75" customHeight="1">
      <c r="A83" s="69"/>
      <c r="B83" s="69"/>
      <c r="C83" s="69"/>
      <c r="D83" s="8"/>
      <c r="E83" s="68"/>
      <c r="F83" s="33"/>
      <c r="G83" s="68"/>
      <c r="H83" s="68"/>
      <c r="I83" s="33"/>
    </row>
    <row r="84" ht="66.75" customHeight="1">
      <c r="A84" s="69"/>
      <c r="B84" s="69"/>
      <c r="C84" s="69"/>
      <c r="D84" s="8"/>
      <c r="E84" s="68"/>
      <c r="F84" s="33"/>
      <c r="G84" s="68"/>
      <c r="H84" s="68"/>
      <c r="I84" s="33"/>
    </row>
    <row r="85" ht="66.75" customHeight="1">
      <c r="A85" s="69"/>
      <c r="B85" s="69"/>
      <c r="C85" s="69"/>
      <c r="D85" s="8"/>
      <c r="E85" s="68"/>
      <c r="F85" s="33"/>
      <c r="G85" s="68"/>
      <c r="H85" s="68"/>
      <c r="I85" s="33"/>
    </row>
    <row r="86" ht="66.75" customHeight="1">
      <c r="A86" s="69"/>
      <c r="B86" s="69"/>
      <c r="C86" s="69"/>
      <c r="D86" s="8"/>
      <c r="E86" s="68"/>
      <c r="F86" s="33"/>
      <c r="G86" s="68"/>
      <c r="H86" s="68"/>
      <c r="I86" s="33"/>
    </row>
    <row r="87" ht="66.75" customHeight="1">
      <c r="A87" s="69"/>
      <c r="B87" s="69"/>
      <c r="C87" s="69"/>
      <c r="D87" s="8"/>
      <c r="E87" s="68"/>
      <c r="F87" s="33"/>
      <c r="G87" s="68"/>
      <c r="H87" s="68"/>
      <c r="I87" s="33"/>
    </row>
    <row r="88" ht="66.75" customHeight="1">
      <c r="A88" s="69"/>
      <c r="B88" s="69"/>
      <c r="C88" s="69"/>
      <c r="D88" s="8"/>
      <c r="E88" s="68"/>
      <c r="F88" s="33"/>
      <c r="G88" s="68"/>
      <c r="H88" s="68"/>
      <c r="I88" s="33"/>
    </row>
    <row r="89" ht="66.75" customHeight="1">
      <c r="A89" s="69"/>
      <c r="B89" s="69"/>
      <c r="C89" s="69"/>
      <c r="D89" s="8"/>
      <c r="E89" s="68"/>
      <c r="F89" s="33"/>
      <c r="G89" s="68"/>
      <c r="H89" s="68"/>
      <c r="I89" s="33"/>
    </row>
    <row r="90" ht="66.75" customHeight="1">
      <c r="A90" s="69"/>
      <c r="B90" s="69"/>
      <c r="C90" s="69"/>
      <c r="D90" s="8"/>
      <c r="E90" s="68"/>
      <c r="F90" s="33"/>
      <c r="G90" s="68"/>
      <c r="H90" s="68"/>
      <c r="I90" s="33"/>
    </row>
    <row r="91" ht="66.75" customHeight="1">
      <c r="A91" s="69"/>
      <c r="B91" s="69"/>
      <c r="C91" s="69"/>
      <c r="D91" s="8"/>
      <c r="E91" s="68"/>
      <c r="F91" s="33"/>
      <c r="G91" s="68"/>
      <c r="H91" s="68"/>
      <c r="I91" s="33"/>
    </row>
    <row r="92" ht="66.75" customHeight="1">
      <c r="A92" s="69"/>
      <c r="B92" s="69"/>
      <c r="C92" s="69"/>
      <c r="D92" s="8"/>
      <c r="E92" s="68"/>
      <c r="F92" s="33"/>
      <c r="G92" s="68"/>
      <c r="H92" s="68"/>
      <c r="I92" s="33"/>
    </row>
    <row r="93" ht="66.75" customHeight="1">
      <c r="A93" s="69"/>
      <c r="B93" s="69"/>
      <c r="C93" s="69"/>
      <c r="D93" s="8"/>
      <c r="E93" s="68"/>
      <c r="F93" s="33"/>
      <c r="G93" s="68"/>
      <c r="H93" s="68"/>
      <c r="I93" s="33"/>
    </row>
    <row r="94" ht="66.75" customHeight="1">
      <c r="A94" s="69"/>
      <c r="B94" s="69"/>
      <c r="C94" s="69"/>
      <c r="D94" s="8"/>
      <c r="E94" s="68"/>
      <c r="F94" s="33"/>
      <c r="G94" s="68"/>
      <c r="H94" s="68"/>
      <c r="I94" s="33"/>
    </row>
    <row r="95" ht="66.75" customHeight="1">
      <c r="A95" s="69"/>
      <c r="B95" s="69"/>
      <c r="C95" s="69"/>
      <c r="D95" s="8"/>
      <c r="E95" s="68"/>
      <c r="F95" s="33"/>
      <c r="G95" s="68"/>
      <c r="H95" s="68"/>
      <c r="I95" s="33"/>
    </row>
    <row r="96" ht="66.75" customHeight="1">
      <c r="A96" s="69"/>
      <c r="B96" s="69"/>
      <c r="C96" s="69"/>
      <c r="D96" s="8"/>
      <c r="E96" s="68"/>
      <c r="F96" s="33"/>
      <c r="G96" s="68"/>
      <c r="H96" s="68"/>
      <c r="I96" s="33"/>
    </row>
    <row r="97" ht="66.75" customHeight="1">
      <c r="A97" s="69"/>
      <c r="B97" s="69"/>
      <c r="C97" s="69"/>
      <c r="D97" s="8"/>
      <c r="E97" s="68"/>
      <c r="F97" s="33"/>
      <c r="G97" s="68"/>
      <c r="H97" s="68"/>
      <c r="I97" s="33"/>
    </row>
    <row r="98" ht="66.75" customHeight="1">
      <c r="A98" s="69"/>
      <c r="B98" s="69"/>
      <c r="C98" s="69"/>
      <c r="D98" s="8"/>
      <c r="E98" s="68"/>
      <c r="F98" s="33"/>
      <c r="G98" s="68"/>
      <c r="H98" s="68"/>
      <c r="I98" s="33"/>
    </row>
    <row r="99" ht="66.75" customHeight="1">
      <c r="A99" s="69"/>
      <c r="B99" s="69"/>
      <c r="C99" s="69"/>
      <c r="D99" s="8"/>
      <c r="E99" s="68"/>
      <c r="F99" s="33"/>
      <c r="G99" s="68"/>
      <c r="H99" s="68"/>
      <c r="I99" s="33"/>
    </row>
    <row r="100" ht="66.75" customHeight="1">
      <c r="A100" s="69"/>
      <c r="B100" s="69"/>
      <c r="C100" s="69"/>
      <c r="D100" s="8"/>
      <c r="E100" s="68"/>
      <c r="F100" s="33"/>
      <c r="G100" s="68"/>
      <c r="H100" s="68"/>
      <c r="I100" s="33"/>
    </row>
    <row r="101" ht="66.75" customHeight="1">
      <c r="A101" s="69"/>
      <c r="B101" s="69"/>
      <c r="C101" s="69"/>
      <c r="D101" s="8"/>
      <c r="E101" s="68"/>
      <c r="F101" s="33"/>
      <c r="G101" s="68"/>
      <c r="H101" s="68"/>
      <c r="I101" s="33"/>
    </row>
    <row r="102" ht="66.75" customHeight="1">
      <c r="A102" s="69"/>
      <c r="B102" s="69"/>
      <c r="C102" s="69"/>
      <c r="D102" s="8"/>
      <c r="E102" s="68"/>
      <c r="F102" s="33"/>
      <c r="G102" s="68"/>
      <c r="H102" s="68"/>
      <c r="I102" s="33"/>
    </row>
    <row r="103" ht="66.75" customHeight="1">
      <c r="A103" s="69"/>
      <c r="B103" s="69"/>
      <c r="C103" s="69"/>
      <c r="D103" s="8"/>
      <c r="E103" s="68"/>
      <c r="F103" s="33"/>
      <c r="G103" s="68"/>
      <c r="H103" s="68"/>
      <c r="I103" s="33"/>
    </row>
    <row r="104" ht="66.75" customHeight="1">
      <c r="A104" s="69"/>
      <c r="B104" s="69"/>
      <c r="C104" s="69"/>
      <c r="D104" s="8"/>
      <c r="E104" s="68"/>
      <c r="F104" s="33"/>
      <c r="G104" s="68"/>
      <c r="H104" s="68"/>
      <c r="I104" s="33"/>
    </row>
    <row r="105" ht="66.75" customHeight="1">
      <c r="A105" s="69"/>
      <c r="B105" s="69"/>
      <c r="C105" s="69"/>
      <c r="D105" s="8"/>
      <c r="E105" s="68"/>
      <c r="F105" s="33"/>
      <c r="G105" s="68"/>
      <c r="H105" s="68"/>
      <c r="I105" s="33"/>
    </row>
    <row r="106" ht="66.75" customHeight="1">
      <c r="A106" s="69"/>
      <c r="B106" s="69"/>
      <c r="C106" s="69"/>
      <c r="D106" s="8"/>
      <c r="E106" s="68"/>
      <c r="F106" s="33"/>
      <c r="G106" s="68"/>
      <c r="H106" s="68"/>
      <c r="I106" s="33"/>
    </row>
    <row r="107" ht="66.75" customHeight="1">
      <c r="A107" s="69"/>
      <c r="B107" s="69"/>
      <c r="C107" s="69"/>
      <c r="D107" s="8"/>
      <c r="E107" s="68"/>
      <c r="F107" s="33"/>
      <c r="G107" s="68"/>
      <c r="H107" s="68"/>
      <c r="I107" s="33"/>
    </row>
    <row r="108" ht="66.75" customHeight="1">
      <c r="A108" s="69"/>
      <c r="B108" s="69"/>
      <c r="C108" s="69"/>
      <c r="D108" s="8"/>
      <c r="E108" s="68"/>
      <c r="F108" s="33"/>
      <c r="G108" s="68"/>
      <c r="H108" s="68"/>
      <c r="I108" s="33"/>
    </row>
    <row r="109" ht="66.75" customHeight="1">
      <c r="A109" s="69"/>
      <c r="B109" s="69"/>
      <c r="C109" s="69"/>
      <c r="D109" s="8"/>
      <c r="E109" s="68"/>
      <c r="F109" s="33"/>
      <c r="G109" s="68"/>
      <c r="H109" s="68"/>
      <c r="I109" s="33"/>
    </row>
    <row r="110" ht="66.75" customHeight="1">
      <c r="A110" s="69"/>
      <c r="B110" s="69"/>
      <c r="C110" s="69"/>
      <c r="D110" s="8"/>
      <c r="E110" s="68"/>
      <c r="F110" s="33"/>
      <c r="G110" s="68"/>
      <c r="H110" s="68"/>
      <c r="I110" s="33"/>
    </row>
    <row r="111" ht="66.75" customHeight="1">
      <c r="A111" s="69"/>
      <c r="B111" s="69"/>
      <c r="C111" s="69"/>
      <c r="D111" s="8"/>
      <c r="E111" s="68"/>
      <c r="F111" s="33"/>
      <c r="G111" s="68"/>
      <c r="H111" s="68"/>
      <c r="I111" s="33"/>
    </row>
    <row r="112" ht="66.75" customHeight="1">
      <c r="A112" s="69"/>
      <c r="B112" s="69"/>
      <c r="C112" s="69"/>
      <c r="D112" s="8"/>
      <c r="E112" s="68"/>
      <c r="F112" s="33"/>
      <c r="G112" s="68"/>
      <c r="H112" s="68"/>
      <c r="I112" s="33"/>
    </row>
    <row r="113" ht="66.75" customHeight="1">
      <c r="A113" s="69"/>
      <c r="B113" s="69"/>
      <c r="C113" s="69"/>
      <c r="D113" s="8"/>
      <c r="E113" s="68"/>
      <c r="F113" s="33"/>
      <c r="G113" s="68"/>
      <c r="H113" s="68"/>
      <c r="I113" s="33"/>
    </row>
    <row r="114" ht="66.75" customHeight="1">
      <c r="A114" s="69"/>
      <c r="B114" s="69"/>
      <c r="C114" s="69"/>
      <c r="D114" s="8"/>
      <c r="E114" s="68"/>
      <c r="F114" s="33"/>
      <c r="G114" s="68"/>
      <c r="H114" s="68"/>
      <c r="I114" s="33"/>
    </row>
    <row r="115" ht="66.75" customHeight="1">
      <c r="A115" s="69"/>
      <c r="B115" s="69"/>
      <c r="C115" s="69"/>
      <c r="D115" s="8"/>
      <c r="E115" s="68"/>
      <c r="F115" s="33"/>
      <c r="G115" s="68"/>
      <c r="H115" s="68"/>
      <c r="I115" s="33"/>
    </row>
    <row r="116" ht="66.75" customHeight="1">
      <c r="A116" s="69"/>
      <c r="B116" s="69"/>
      <c r="C116" s="69"/>
      <c r="D116" s="8"/>
      <c r="E116" s="68"/>
      <c r="F116" s="33"/>
      <c r="G116" s="68"/>
      <c r="H116" s="68"/>
      <c r="I116" s="33"/>
    </row>
    <row r="117" ht="66.75" customHeight="1">
      <c r="A117" s="69"/>
      <c r="B117" s="69"/>
      <c r="C117" s="69"/>
      <c r="D117" s="8"/>
      <c r="E117" s="68"/>
      <c r="F117" s="33"/>
      <c r="G117" s="68"/>
      <c r="H117" s="68"/>
      <c r="I117" s="33"/>
    </row>
    <row r="118" ht="66.75" customHeight="1">
      <c r="A118" s="69"/>
      <c r="B118" s="69"/>
      <c r="C118" s="69"/>
      <c r="D118" s="8"/>
      <c r="E118" s="68"/>
      <c r="F118" s="33"/>
      <c r="G118" s="68"/>
      <c r="H118" s="68"/>
      <c r="I118" s="33"/>
    </row>
    <row r="119" ht="66.75" customHeight="1">
      <c r="A119" s="69"/>
      <c r="B119" s="69"/>
      <c r="C119" s="69"/>
      <c r="D119" s="8"/>
      <c r="E119" s="68"/>
      <c r="F119" s="33"/>
      <c r="G119" s="68"/>
      <c r="H119" s="68"/>
      <c r="I119" s="33"/>
    </row>
    <row r="120" ht="66.75" customHeight="1">
      <c r="A120" s="69"/>
      <c r="B120" s="69"/>
      <c r="C120" s="69"/>
      <c r="D120" s="8"/>
      <c r="E120" s="68"/>
      <c r="F120" s="33"/>
      <c r="G120" s="68"/>
      <c r="H120" s="68"/>
      <c r="I120" s="33"/>
    </row>
    <row r="121" ht="66.75" customHeight="1">
      <c r="A121" s="69"/>
      <c r="B121" s="69"/>
      <c r="C121" s="69"/>
      <c r="D121" s="8"/>
      <c r="E121" s="68"/>
      <c r="F121" s="33"/>
      <c r="G121" s="68"/>
      <c r="H121" s="68"/>
      <c r="I121" s="33"/>
    </row>
    <row r="122" ht="66.75" customHeight="1">
      <c r="A122" s="69"/>
      <c r="B122" s="69"/>
      <c r="C122" s="69"/>
      <c r="D122" s="8"/>
      <c r="E122" s="68"/>
      <c r="F122" s="33"/>
      <c r="G122" s="68"/>
      <c r="H122" s="68"/>
      <c r="I122" s="33"/>
    </row>
    <row r="123" ht="66.75" customHeight="1">
      <c r="A123" s="69"/>
      <c r="B123" s="69"/>
      <c r="C123" s="69"/>
      <c r="D123" s="8"/>
      <c r="E123" s="68"/>
      <c r="F123" s="33"/>
      <c r="G123" s="68"/>
      <c r="H123" s="68"/>
      <c r="I123" s="33"/>
    </row>
    <row r="124" ht="66.75" customHeight="1">
      <c r="A124" s="69"/>
      <c r="B124" s="69"/>
      <c r="C124" s="69"/>
      <c r="D124" s="8"/>
      <c r="E124" s="68"/>
      <c r="F124" s="33"/>
      <c r="G124" s="68"/>
      <c r="H124" s="68"/>
      <c r="I124" s="33"/>
    </row>
    <row r="125" ht="66.75" customHeight="1">
      <c r="A125" s="69"/>
      <c r="B125" s="69"/>
      <c r="C125" s="69"/>
      <c r="D125" s="8"/>
      <c r="E125" s="68"/>
      <c r="F125" s="33"/>
      <c r="G125" s="68"/>
      <c r="H125" s="68"/>
      <c r="I125" s="33"/>
    </row>
    <row r="126" ht="66.75" customHeight="1">
      <c r="A126" s="69"/>
      <c r="B126" s="69"/>
      <c r="C126" s="69"/>
      <c r="D126" s="8"/>
      <c r="E126" s="68"/>
      <c r="F126" s="33"/>
      <c r="G126" s="68"/>
      <c r="H126" s="68"/>
      <c r="I126" s="33"/>
    </row>
    <row r="127" ht="66.75" customHeight="1">
      <c r="A127" s="69"/>
      <c r="B127" s="69"/>
      <c r="C127" s="69"/>
      <c r="D127" s="8"/>
      <c r="E127" s="68"/>
      <c r="F127" s="33"/>
      <c r="G127" s="68"/>
      <c r="H127" s="68"/>
      <c r="I127" s="33"/>
    </row>
    <row r="128" ht="66.75" customHeight="1">
      <c r="A128" s="69"/>
      <c r="B128" s="69"/>
      <c r="C128" s="69"/>
      <c r="D128" s="8"/>
      <c r="E128" s="68"/>
      <c r="F128" s="33"/>
      <c r="G128" s="68"/>
      <c r="H128" s="68"/>
      <c r="I128" s="33"/>
    </row>
    <row r="129" ht="66.75" customHeight="1">
      <c r="A129" s="69"/>
      <c r="B129" s="69"/>
      <c r="C129" s="69"/>
      <c r="D129" s="8"/>
      <c r="E129" s="68"/>
      <c r="F129" s="33"/>
      <c r="G129" s="68"/>
      <c r="H129" s="68"/>
      <c r="I129" s="33"/>
    </row>
    <row r="130" ht="66.75" customHeight="1">
      <c r="A130" s="69"/>
      <c r="B130" s="69"/>
      <c r="C130" s="69"/>
      <c r="D130" s="8"/>
      <c r="E130" s="68"/>
      <c r="F130" s="33"/>
      <c r="G130" s="68"/>
      <c r="H130" s="68"/>
      <c r="I130" s="33"/>
    </row>
    <row r="131" ht="66.75" customHeight="1">
      <c r="A131" s="69"/>
      <c r="B131" s="69"/>
      <c r="C131" s="69"/>
      <c r="D131" s="8"/>
      <c r="E131" s="68"/>
      <c r="F131" s="33"/>
      <c r="G131" s="68"/>
      <c r="H131" s="68"/>
      <c r="I131" s="33"/>
    </row>
    <row r="132" ht="66.75" customHeight="1">
      <c r="A132" s="69"/>
      <c r="B132" s="69"/>
      <c r="C132" s="69"/>
      <c r="D132" s="8"/>
      <c r="E132" s="68"/>
      <c r="F132" s="33"/>
      <c r="G132" s="68"/>
      <c r="H132" s="68"/>
      <c r="I132" s="33"/>
    </row>
    <row r="133" ht="66.75" customHeight="1">
      <c r="A133" s="69"/>
      <c r="B133" s="69"/>
      <c r="C133" s="69"/>
      <c r="D133" s="8"/>
      <c r="E133" s="68"/>
      <c r="F133" s="33"/>
      <c r="G133" s="68"/>
      <c r="H133" s="68"/>
      <c r="I133" s="33"/>
    </row>
    <row r="134" ht="66.75" customHeight="1">
      <c r="A134" s="69"/>
      <c r="B134" s="69"/>
      <c r="C134" s="69"/>
      <c r="D134" s="8"/>
      <c r="E134" s="68"/>
      <c r="F134" s="33"/>
      <c r="G134" s="68"/>
      <c r="H134" s="68"/>
      <c r="I134" s="33"/>
    </row>
    <row r="135" ht="66.75" customHeight="1">
      <c r="A135" s="69"/>
      <c r="B135" s="69"/>
      <c r="C135" s="69"/>
      <c r="D135" s="8"/>
      <c r="E135" s="68"/>
      <c r="F135" s="33"/>
      <c r="G135" s="68"/>
      <c r="H135" s="68"/>
      <c r="I135" s="33"/>
    </row>
    <row r="136" ht="66.75" customHeight="1">
      <c r="A136" s="69"/>
      <c r="B136" s="69"/>
      <c r="C136" s="69"/>
      <c r="D136" s="8"/>
      <c r="E136" s="68"/>
      <c r="F136" s="33"/>
      <c r="G136" s="68"/>
      <c r="H136" s="68"/>
      <c r="I136" s="33"/>
    </row>
    <row r="137" ht="66.75" customHeight="1">
      <c r="A137" s="69"/>
      <c r="B137" s="69"/>
      <c r="C137" s="69"/>
      <c r="D137" s="8"/>
      <c r="E137" s="68"/>
      <c r="F137" s="33"/>
      <c r="G137" s="68"/>
      <c r="H137" s="68"/>
      <c r="I137" s="33"/>
    </row>
    <row r="138" ht="66.75" customHeight="1">
      <c r="A138" s="69"/>
      <c r="B138" s="69"/>
      <c r="C138" s="69"/>
      <c r="D138" s="8"/>
      <c r="E138" s="68"/>
      <c r="F138" s="33"/>
      <c r="G138" s="68"/>
      <c r="H138" s="68"/>
      <c r="I138" s="33"/>
    </row>
    <row r="139" ht="66.75" customHeight="1">
      <c r="A139" s="69"/>
      <c r="B139" s="69"/>
      <c r="C139" s="69"/>
      <c r="D139" s="8"/>
      <c r="E139" s="68"/>
      <c r="F139" s="33"/>
      <c r="G139" s="68"/>
      <c r="H139" s="68"/>
      <c r="I139" s="33"/>
    </row>
    <row r="140" ht="66.75" customHeight="1">
      <c r="A140" s="69"/>
      <c r="B140" s="69"/>
      <c r="C140" s="69"/>
      <c r="D140" s="8"/>
      <c r="E140" s="68"/>
      <c r="F140" s="33"/>
      <c r="G140" s="68"/>
      <c r="H140" s="68"/>
      <c r="I140" s="33"/>
    </row>
    <row r="141" ht="66.75" customHeight="1">
      <c r="A141" s="69"/>
      <c r="B141" s="69"/>
      <c r="C141" s="69"/>
      <c r="D141" s="8"/>
      <c r="E141" s="68"/>
      <c r="F141" s="33"/>
      <c r="G141" s="68"/>
      <c r="H141" s="68"/>
      <c r="I141" s="33"/>
    </row>
    <row r="142" ht="66.75" customHeight="1">
      <c r="A142" s="69"/>
      <c r="B142" s="69"/>
      <c r="C142" s="69"/>
      <c r="D142" s="8"/>
      <c r="E142" s="68"/>
      <c r="F142" s="33"/>
      <c r="G142" s="68"/>
      <c r="H142" s="68"/>
      <c r="I142" s="33"/>
    </row>
    <row r="143" ht="66.75" customHeight="1">
      <c r="A143" s="69"/>
      <c r="B143" s="69"/>
      <c r="C143" s="69"/>
      <c r="D143" s="8"/>
      <c r="E143" s="68"/>
      <c r="F143" s="33"/>
      <c r="G143" s="68"/>
      <c r="H143" s="68"/>
      <c r="I143" s="33"/>
    </row>
    <row r="144" ht="66.75" customHeight="1">
      <c r="A144" s="69"/>
      <c r="B144" s="69"/>
      <c r="C144" s="69"/>
      <c r="D144" s="8"/>
      <c r="E144" s="68"/>
      <c r="F144" s="33"/>
      <c r="G144" s="68"/>
      <c r="H144" s="68"/>
      <c r="I144" s="33"/>
    </row>
    <row r="145" ht="66.75" customHeight="1">
      <c r="A145" s="69"/>
      <c r="B145" s="69"/>
      <c r="C145" s="69"/>
      <c r="D145" s="8"/>
      <c r="E145" s="68"/>
      <c r="F145" s="33"/>
      <c r="G145" s="68"/>
      <c r="H145" s="68"/>
      <c r="I145" s="33"/>
    </row>
    <row r="146" ht="66.75" customHeight="1">
      <c r="A146" s="69"/>
      <c r="B146" s="69"/>
      <c r="C146" s="69"/>
      <c r="D146" s="8"/>
      <c r="E146" s="68"/>
      <c r="F146" s="33"/>
      <c r="G146" s="68"/>
      <c r="H146" s="68"/>
      <c r="I146" s="33"/>
    </row>
    <row r="147" ht="66.75" customHeight="1">
      <c r="A147" s="69"/>
      <c r="B147" s="69"/>
      <c r="C147" s="69"/>
      <c r="D147" s="8"/>
      <c r="E147" s="68"/>
      <c r="F147" s="33"/>
      <c r="G147" s="68"/>
      <c r="H147" s="68"/>
      <c r="I147" s="33"/>
    </row>
    <row r="148" ht="66.75" customHeight="1">
      <c r="A148" s="69"/>
      <c r="B148" s="69"/>
      <c r="C148" s="69"/>
      <c r="D148" s="8"/>
      <c r="E148" s="68"/>
      <c r="F148" s="33"/>
      <c r="G148" s="68"/>
      <c r="H148" s="68"/>
      <c r="I148" s="33"/>
    </row>
    <row r="149" ht="66.75" customHeight="1">
      <c r="A149" s="69"/>
      <c r="B149" s="69"/>
      <c r="C149" s="69"/>
      <c r="D149" s="8"/>
      <c r="E149" s="68"/>
      <c r="F149" s="33"/>
      <c r="G149" s="68"/>
      <c r="H149" s="68"/>
      <c r="I149" s="33"/>
    </row>
    <row r="150" ht="66.75" customHeight="1">
      <c r="A150" s="69"/>
      <c r="B150" s="69"/>
      <c r="C150" s="69"/>
      <c r="D150" s="8"/>
      <c r="E150" s="68"/>
      <c r="F150" s="33"/>
      <c r="G150" s="68"/>
      <c r="H150" s="68"/>
      <c r="I150" s="33"/>
    </row>
    <row r="151" ht="66.75" customHeight="1">
      <c r="A151" s="69"/>
      <c r="B151" s="69"/>
      <c r="C151" s="69"/>
      <c r="D151" s="8"/>
      <c r="E151" s="68"/>
      <c r="F151" s="33"/>
      <c r="G151" s="68"/>
      <c r="H151" s="68"/>
      <c r="I151" s="33"/>
    </row>
    <row r="152" ht="66.75" customHeight="1">
      <c r="A152" s="69"/>
      <c r="B152" s="69"/>
      <c r="C152" s="69"/>
      <c r="D152" s="8"/>
      <c r="E152" s="68"/>
      <c r="F152" s="33"/>
      <c r="G152" s="68"/>
      <c r="H152" s="68"/>
      <c r="I152" s="33"/>
    </row>
    <row r="153" ht="66.75" customHeight="1">
      <c r="A153" s="69"/>
      <c r="B153" s="69"/>
      <c r="C153" s="69"/>
      <c r="D153" s="8"/>
      <c r="E153" s="68"/>
      <c r="F153" s="33"/>
      <c r="G153" s="68"/>
      <c r="H153" s="68"/>
      <c r="I153" s="33"/>
    </row>
    <row r="154" ht="66.75" customHeight="1">
      <c r="A154" s="69"/>
      <c r="B154" s="69"/>
      <c r="C154" s="69"/>
      <c r="D154" s="8"/>
      <c r="E154" s="68"/>
      <c r="F154" s="33"/>
      <c r="G154" s="68"/>
      <c r="H154" s="68"/>
      <c r="I154" s="33"/>
    </row>
    <row r="155" ht="66.75" customHeight="1">
      <c r="A155" s="69"/>
      <c r="B155" s="69"/>
      <c r="C155" s="69"/>
      <c r="D155" s="8"/>
      <c r="E155" s="68"/>
      <c r="F155" s="33"/>
      <c r="G155" s="68"/>
      <c r="H155" s="68"/>
      <c r="I155" s="33"/>
    </row>
    <row r="156" ht="66.75" customHeight="1">
      <c r="A156" s="69"/>
      <c r="B156" s="69"/>
      <c r="C156" s="69"/>
      <c r="D156" s="8"/>
      <c r="E156" s="68"/>
      <c r="F156" s="33"/>
      <c r="G156" s="68"/>
      <c r="H156" s="68"/>
      <c r="I156" s="33"/>
    </row>
    <row r="157" ht="66.75" customHeight="1">
      <c r="A157" s="69"/>
      <c r="B157" s="69"/>
      <c r="C157" s="69"/>
      <c r="D157" s="8"/>
      <c r="E157" s="68"/>
      <c r="F157" s="33"/>
      <c r="G157" s="68"/>
      <c r="H157" s="68"/>
      <c r="I157" s="33"/>
    </row>
    <row r="158" ht="66.75" customHeight="1">
      <c r="A158" s="69"/>
      <c r="B158" s="69"/>
      <c r="C158" s="69"/>
      <c r="D158" s="8"/>
      <c r="E158" s="68"/>
      <c r="F158" s="33"/>
      <c r="G158" s="68"/>
      <c r="H158" s="68"/>
      <c r="I158" s="33"/>
    </row>
    <row r="159" ht="66.75" customHeight="1">
      <c r="A159" s="69"/>
      <c r="B159" s="69"/>
      <c r="C159" s="69"/>
      <c r="D159" s="8"/>
      <c r="E159" s="68"/>
      <c r="F159" s="33"/>
      <c r="G159" s="68"/>
      <c r="H159" s="68"/>
      <c r="I159" s="33"/>
    </row>
    <row r="160" ht="66.75" customHeight="1">
      <c r="A160" s="69"/>
      <c r="B160" s="69"/>
      <c r="C160" s="69"/>
      <c r="D160" s="8"/>
      <c r="E160" s="68"/>
      <c r="F160" s="33"/>
      <c r="G160" s="68"/>
      <c r="H160" s="68"/>
      <c r="I160" s="33"/>
    </row>
    <row r="161" ht="66.75" customHeight="1">
      <c r="A161" s="69"/>
      <c r="B161" s="69"/>
      <c r="C161" s="69"/>
      <c r="D161" s="8"/>
      <c r="E161" s="68"/>
      <c r="F161" s="33"/>
      <c r="G161" s="68"/>
      <c r="H161" s="68"/>
      <c r="I161" s="33"/>
    </row>
    <row r="162" ht="66.75" customHeight="1">
      <c r="A162" s="69"/>
      <c r="B162" s="69"/>
      <c r="C162" s="69"/>
      <c r="D162" s="8"/>
      <c r="E162" s="68"/>
      <c r="F162" s="33"/>
      <c r="G162" s="68"/>
      <c r="H162" s="68"/>
      <c r="I162" s="33"/>
    </row>
    <row r="163" ht="66.75" customHeight="1">
      <c r="A163" s="69"/>
      <c r="B163" s="69"/>
      <c r="C163" s="69"/>
      <c r="D163" s="8"/>
      <c r="E163" s="68"/>
      <c r="F163" s="33"/>
      <c r="G163" s="68"/>
      <c r="H163" s="68"/>
      <c r="I163" s="33"/>
    </row>
    <row r="164" ht="66.75" customHeight="1">
      <c r="A164" s="69"/>
      <c r="B164" s="69"/>
      <c r="C164" s="69"/>
      <c r="D164" s="8"/>
      <c r="E164" s="68"/>
      <c r="F164" s="33"/>
      <c r="G164" s="68"/>
      <c r="H164" s="68"/>
      <c r="I164" s="33"/>
    </row>
    <row r="165" ht="66.75" customHeight="1">
      <c r="A165" s="69"/>
      <c r="B165" s="69"/>
      <c r="C165" s="69"/>
      <c r="D165" s="8"/>
      <c r="E165" s="68"/>
      <c r="F165" s="33"/>
      <c r="G165" s="68"/>
      <c r="H165" s="68"/>
      <c r="I165" s="33"/>
    </row>
    <row r="166" ht="66.75" customHeight="1">
      <c r="A166" s="69"/>
      <c r="B166" s="69"/>
      <c r="C166" s="69"/>
      <c r="D166" s="8"/>
      <c r="E166" s="68"/>
      <c r="F166" s="33"/>
      <c r="G166" s="68"/>
      <c r="H166" s="68"/>
      <c r="I166" s="33"/>
    </row>
    <row r="167" ht="66.75" customHeight="1">
      <c r="A167" s="69"/>
      <c r="B167" s="69"/>
      <c r="C167" s="69"/>
      <c r="D167" s="8"/>
      <c r="E167" s="68"/>
      <c r="F167" s="33"/>
      <c r="G167" s="68"/>
      <c r="H167" s="68"/>
      <c r="I167" s="33"/>
    </row>
    <row r="168" ht="66.75" customHeight="1">
      <c r="A168" s="69"/>
      <c r="B168" s="69"/>
      <c r="C168" s="69"/>
      <c r="D168" s="8"/>
      <c r="E168" s="68"/>
      <c r="F168" s="33"/>
      <c r="G168" s="68"/>
      <c r="H168" s="68"/>
      <c r="I168" s="33"/>
    </row>
    <row r="169" ht="66.75" customHeight="1">
      <c r="A169" s="69"/>
      <c r="B169" s="69"/>
      <c r="C169" s="69"/>
      <c r="D169" s="8"/>
      <c r="E169" s="68"/>
      <c r="F169" s="33"/>
      <c r="G169" s="68"/>
      <c r="H169" s="68"/>
      <c r="I169" s="33"/>
    </row>
    <row r="170" ht="66.75" customHeight="1">
      <c r="A170" s="69"/>
      <c r="B170" s="69"/>
      <c r="C170" s="69"/>
      <c r="D170" s="8"/>
      <c r="E170" s="68"/>
      <c r="F170" s="33"/>
      <c r="G170" s="68"/>
      <c r="H170" s="68"/>
      <c r="I170" s="33"/>
    </row>
    <row r="171" ht="66.75" customHeight="1">
      <c r="A171" s="69"/>
      <c r="B171" s="69"/>
      <c r="C171" s="69"/>
      <c r="D171" s="8"/>
      <c r="E171" s="68"/>
      <c r="F171" s="33"/>
      <c r="G171" s="68"/>
      <c r="H171" s="68"/>
      <c r="I171" s="33"/>
    </row>
    <row r="172" ht="66.75" customHeight="1">
      <c r="A172" s="69"/>
      <c r="B172" s="69"/>
      <c r="C172" s="69"/>
      <c r="D172" s="8"/>
      <c r="E172" s="68"/>
      <c r="F172" s="33"/>
      <c r="G172" s="68"/>
      <c r="H172" s="68"/>
      <c r="I172" s="33"/>
    </row>
    <row r="173" ht="66.75" customHeight="1">
      <c r="A173" s="69"/>
      <c r="B173" s="69"/>
      <c r="C173" s="69"/>
      <c r="D173" s="8"/>
      <c r="E173" s="68"/>
      <c r="F173" s="33"/>
      <c r="G173" s="68"/>
      <c r="H173" s="68"/>
      <c r="I173" s="33"/>
    </row>
    <row r="174" ht="66.75" customHeight="1">
      <c r="A174" s="69"/>
      <c r="B174" s="69"/>
      <c r="C174" s="69"/>
      <c r="D174" s="8"/>
      <c r="E174" s="68"/>
      <c r="F174" s="33"/>
      <c r="G174" s="68"/>
      <c r="H174" s="68"/>
      <c r="I174" s="33"/>
    </row>
    <row r="175" ht="66.75" customHeight="1">
      <c r="A175" s="69"/>
      <c r="B175" s="69"/>
      <c r="C175" s="69"/>
      <c r="D175" s="8"/>
      <c r="E175" s="68"/>
      <c r="F175" s="33"/>
      <c r="G175" s="68"/>
      <c r="H175" s="68"/>
      <c r="I175" s="33"/>
    </row>
    <row r="176" ht="66.75" customHeight="1">
      <c r="A176" s="69"/>
      <c r="B176" s="69"/>
      <c r="C176" s="69"/>
      <c r="D176" s="8"/>
      <c r="E176" s="68"/>
      <c r="F176" s="33"/>
      <c r="G176" s="68"/>
      <c r="H176" s="68"/>
      <c r="I176" s="33"/>
    </row>
    <row r="177" ht="66.75" customHeight="1">
      <c r="A177" s="69"/>
      <c r="B177" s="69"/>
      <c r="C177" s="69"/>
      <c r="D177" s="8"/>
      <c r="E177" s="68"/>
      <c r="F177" s="33"/>
      <c r="G177" s="68"/>
      <c r="H177" s="68"/>
      <c r="I177" s="33"/>
    </row>
    <row r="178" ht="66.75" customHeight="1">
      <c r="A178" s="69"/>
      <c r="B178" s="69"/>
      <c r="C178" s="69"/>
      <c r="D178" s="8"/>
      <c r="E178" s="68"/>
      <c r="F178" s="33"/>
      <c r="G178" s="68"/>
      <c r="H178" s="68"/>
      <c r="I178" s="33"/>
    </row>
    <row r="179" ht="66.75" customHeight="1">
      <c r="A179" s="69"/>
      <c r="B179" s="69"/>
      <c r="C179" s="69"/>
      <c r="D179" s="8"/>
      <c r="E179" s="68"/>
      <c r="F179" s="33"/>
      <c r="G179" s="68"/>
      <c r="H179" s="68"/>
      <c r="I179" s="33"/>
    </row>
    <row r="180" ht="66.75" customHeight="1">
      <c r="A180" s="69"/>
      <c r="B180" s="69"/>
      <c r="C180" s="69"/>
      <c r="D180" s="8"/>
      <c r="E180" s="68"/>
      <c r="F180" s="33"/>
      <c r="G180" s="68"/>
      <c r="H180" s="68"/>
      <c r="I180" s="33"/>
    </row>
    <row r="181" ht="66.75" customHeight="1">
      <c r="A181" s="69"/>
      <c r="B181" s="69"/>
      <c r="C181" s="69"/>
      <c r="D181" s="8"/>
      <c r="E181" s="68"/>
      <c r="F181" s="33"/>
      <c r="G181" s="68"/>
      <c r="H181" s="68"/>
      <c r="I181" s="33"/>
    </row>
    <row r="182" ht="66.75" customHeight="1">
      <c r="A182" s="69"/>
      <c r="B182" s="69"/>
      <c r="C182" s="69"/>
      <c r="D182" s="8"/>
      <c r="E182" s="68"/>
      <c r="F182" s="33"/>
      <c r="G182" s="68"/>
      <c r="H182" s="68"/>
      <c r="I182" s="33"/>
    </row>
    <row r="183" ht="66.75" customHeight="1">
      <c r="A183" s="69"/>
      <c r="B183" s="69"/>
      <c r="C183" s="69"/>
      <c r="D183" s="8"/>
      <c r="E183" s="68"/>
      <c r="F183" s="33"/>
      <c r="G183" s="68"/>
      <c r="H183" s="68"/>
      <c r="I183" s="33"/>
    </row>
    <row r="184" ht="66.75" customHeight="1">
      <c r="A184" s="69"/>
      <c r="B184" s="69"/>
      <c r="C184" s="69"/>
      <c r="D184" s="8"/>
      <c r="E184" s="68"/>
      <c r="F184" s="33"/>
      <c r="G184" s="68"/>
      <c r="H184" s="68"/>
      <c r="I184" s="33"/>
    </row>
    <row r="185" ht="66.75" customHeight="1">
      <c r="A185" s="69"/>
      <c r="B185" s="69"/>
      <c r="C185" s="69"/>
      <c r="D185" s="8"/>
      <c r="E185" s="68"/>
      <c r="F185" s="33"/>
      <c r="G185" s="68"/>
      <c r="H185" s="68"/>
      <c r="I185" s="33"/>
    </row>
    <row r="186" ht="66.75" customHeight="1">
      <c r="A186" s="69"/>
      <c r="B186" s="69"/>
      <c r="C186" s="69"/>
      <c r="D186" s="8"/>
      <c r="E186" s="68"/>
      <c r="F186" s="33"/>
      <c r="G186" s="68"/>
      <c r="H186" s="68"/>
      <c r="I186" s="33"/>
    </row>
    <row r="187" ht="66.75" customHeight="1">
      <c r="A187" s="69"/>
      <c r="B187" s="69"/>
      <c r="C187" s="69"/>
      <c r="D187" s="8"/>
      <c r="E187" s="68"/>
      <c r="F187" s="33"/>
      <c r="G187" s="68"/>
      <c r="H187" s="68"/>
      <c r="I187" s="33"/>
    </row>
    <row r="188" ht="66.75" customHeight="1">
      <c r="A188" s="69"/>
      <c r="B188" s="69"/>
      <c r="C188" s="69"/>
      <c r="D188" s="8"/>
      <c r="E188" s="68"/>
      <c r="F188" s="33"/>
      <c r="G188" s="68"/>
      <c r="H188" s="68"/>
      <c r="I188" s="33"/>
    </row>
    <row r="189" ht="66.75" customHeight="1">
      <c r="A189" s="69"/>
      <c r="B189" s="69"/>
      <c r="C189" s="69"/>
      <c r="D189" s="8"/>
      <c r="E189" s="68"/>
      <c r="F189" s="33"/>
      <c r="G189" s="68"/>
      <c r="H189" s="68"/>
      <c r="I189" s="33"/>
    </row>
    <row r="190" ht="66.75" customHeight="1">
      <c r="A190" s="69"/>
      <c r="B190" s="69"/>
      <c r="C190" s="69"/>
      <c r="D190" s="8"/>
      <c r="E190" s="68"/>
      <c r="F190" s="33"/>
      <c r="G190" s="68"/>
      <c r="H190" s="68"/>
      <c r="I190" s="33"/>
    </row>
    <row r="191" ht="66.75" customHeight="1">
      <c r="A191" s="69"/>
      <c r="B191" s="69"/>
      <c r="C191" s="69"/>
      <c r="D191" s="8"/>
      <c r="E191" s="68"/>
      <c r="F191" s="33"/>
      <c r="G191" s="68"/>
      <c r="H191" s="68"/>
      <c r="I191" s="33"/>
    </row>
    <row r="192" ht="66.75" customHeight="1">
      <c r="A192" s="69"/>
      <c r="B192" s="69"/>
      <c r="C192" s="69"/>
      <c r="D192" s="8"/>
      <c r="E192" s="68"/>
      <c r="F192" s="33"/>
      <c r="G192" s="68"/>
      <c r="H192" s="68"/>
      <c r="I192" s="33"/>
    </row>
    <row r="193" ht="66.75" customHeight="1">
      <c r="A193" s="69"/>
      <c r="B193" s="69"/>
      <c r="C193" s="69"/>
      <c r="D193" s="8"/>
      <c r="E193" s="68"/>
      <c r="F193" s="33"/>
      <c r="G193" s="68"/>
      <c r="H193" s="68"/>
      <c r="I193" s="33"/>
    </row>
    <row r="194" ht="66.75" customHeight="1">
      <c r="A194" s="69"/>
      <c r="B194" s="69"/>
      <c r="C194" s="69"/>
      <c r="D194" s="8"/>
      <c r="E194" s="68"/>
      <c r="F194" s="33"/>
      <c r="G194" s="68"/>
      <c r="H194" s="68"/>
      <c r="I194" s="33"/>
    </row>
    <row r="195" ht="66.75" customHeight="1">
      <c r="A195" s="69"/>
      <c r="B195" s="69"/>
      <c r="C195" s="69"/>
      <c r="D195" s="8"/>
      <c r="E195" s="68"/>
      <c r="F195" s="33"/>
      <c r="G195" s="68"/>
      <c r="H195" s="68"/>
      <c r="I195" s="33"/>
    </row>
    <row r="196" ht="66.75" customHeight="1">
      <c r="A196" s="69"/>
      <c r="B196" s="69"/>
      <c r="C196" s="69"/>
      <c r="D196" s="8"/>
      <c r="E196" s="68"/>
      <c r="F196" s="33"/>
      <c r="G196" s="68"/>
      <c r="H196" s="68"/>
      <c r="I196" s="33"/>
    </row>
    <row r="197" ht="66.75" customHeight="1">
      <c r="A197" s="69"/>
      <c r="B197" s="69"/>
      <c r="C197" s="69"/>
      <c r="D197" s="8"/>
      <c r="E197" s="68"/>
      <c r="F197" s="33"/>
      <c r="G197" s="68"/>
      <c r="H197" s="68"/>
      <c r="I197" s="33"/>
    </row>
    <row r="198" ht="66.75" customHeight="1">
      <c r="A198" s="69"/>
      <c r="B198" s="69"/>
      <c r="C198" s="69"/>
      <c r="D198" s="8"/>
      <c r="E198" s="68"/>
      <c r="F198" s="33"/>
      <c r="G198" s="68"/>
      <c r="H198" s="68"/>
      <c r="I198" s="33"/>
    </row>
    <row r="199" ht="66.75" customHeight="1">
      <c r="A199" s="69"/>
      <c r="B199" s="69"/>
      <c r="C199" s="69"/>
      <c r="D199" s="8"/>
      <c r="E199" s="68"/>
      <c r="F199" s="33"/>
      <c r="G199" s="68"/>
      <c r="H199" s="68"/>
      <c r="I199" s="33"/>
    </row>
    <row r="200" ht="66.75" customHeight="1">
      <c r="A200" s="69"/>
      <c r="B200" s="69"/>
      <c r="C200" s="69"/>
      <c r="D200" s="8"/>
      <c r="E200" s="68"/>
      <c r="F200" s="33"/>
      <c r="G200" s="68"/>
      <c r="H200" s="68"/>
      <c r="I200" s="33"/>
    </row>
    <row r="201" ht="66.75" customHeight="1">
      <c r="A201" s="69"/>
      <c r="B201" s="69"/>
      <c r="C201" s="69"/>
      <c r="D201" s="8"/>
      <c r="E201" s="68"/>
      <c r="F201" s="33"/>
      <c r="G201" s="68"/>
      <c r="H201" s="68"/>
      <c r="I201" s="33"/>
    </row>
    <row r="202" ht="66.75" customHeight="1">
      <c r="A202" s="69"/>
      <c r="B202" s="69"/>
      <c r="C202" s="69"/>
      <c r="D202" s="8"/>
      <c r="E202" s="68"/>
      <c r="F202" s="33"/>
      <c r="G202" s="68"/>
      <c r="H202" s="68"/>
      <c r="I202" s="33"/>
    </row>
    <row r="203" ht="66.75" customHeight="1">
      <c r="A203" s="69"/>
      <c r="B203" s="69"/>
      <c r="C203" s="69"/>
      <c r="D203" s="8"/>
      <c r="E203" s="68"/>
      <c r="F203" s="33"/>
      <c r="G203" s="68"/>
      <c r="H203" s="68"/>
      <c r="I203" s="33"/>
    </row>
    <row r="204" ht="66.75" customHeight="1">
      <c r="A204" s="69"/>
      <c r="B204" s="69"/>
      <c r="C204" s="69"/>
      <c r="D204" s="8"/>
      <c r="E204" s="68"/>
      <c r="F204" s="33"/>
      <c r="G204" s="68"/>
      <c r="H204" s="68"/>
      <c r="I204" s="33"/>
    </row>
    <row r="205" ht="66.75" customHeight="1">
      <c r="A205" s="69"/>
      <c r="B205" s="69"/>
      <c r="C205" s="69"/>
      <c r="D205" s="8"/>
      <c r="E205" s="68"/>
      <c r="F205" s="33"/>
      <c r="G205" s="68"/>
      <c r="H205" s="68"/>
      <c r="I205" s="33"/>
    </row>
    <row r="206" ht="66.75" customHeight="1">
      <c r="A206" s="69"/>
      <c r="B206" s="69"/>
      <c r="C206" s="69"/>
      <c r="D206" s="8"/>
      <c r="E206" s="68"/>
      <c r="F206" s="33"/>
      <c r="G206" s="68"/>
      <c r="H206" s="68"/>
      <c r="I206" s="33"/>
    </row>
    <row r="207" ht="66.75" customHeight="1">
      <c r="A207" s="69"/>
      <c r="B207" s="69"/>
      <c r="C207" s="69"/>
      <c r="D207" s="8"/>
      <c r="E207" s="68"/>
      <c r="F207" s="33"/>
      <c r="G207" s="68"/>
      <c r="H207" s="68"/>
      <c r="I207" s="33"/>
    </row>
    <row r="208" ht="66.75" customHeight="1">
      <c r="A208" s="69"/>
      <c r="B208" s="69"/>
      <c r="C208" s="69"/>
      <c r="D208" s="8"/>
      <c r="E208" s="68"/>
      <c r="F208" s="33"/>
      <c r="G208" s="68"/>
      <c r="H208" s="68"/>
      <c r="I208" s="33"/>
    </row>
    <row r="209" ht="66.75" customHeight="1">
      <c r="A209" s="69"/>
      <c r="B209" s="69"/>
      <c r="C209" s="69"/>
      <c r="D209" s="8"/>
      <c r="E209" s="68"/>
      <c r="F209" s="33"/>
      <c r="G209" s="68"/>
      <c r="H209" s="68"/>
      <c r="I209" s="33"/>
    </row>
    <row r="210" ht="66.75" customHeight="1">
      <c r="A210" s="69"/>
      <c r="B210" s="69"/>
      <c r="C210" s="69"/>
      <c r="D210" s="8"/>
      <c r="E210" s="68"/>
      <c r="F210" s="33"/>
      <c r="G210" s="68"/>
      <c r="H210" s="68"/>
      <c r="I210" s="33"/>
    </row>
    <row r="211" ht="66.75" customHeight="1">
      <c r="A211" s="69"/>
      <c r="B211" s="69"/>
      <c r="C211" s="69"/>
      <c r="D211" s="8"/>
      <c r="E211" s="68"/>
      <c r="F211" s="33"/>
      <c r="G211" s="68"/>
      <c r="H211" s="68"/>
      <c r="I211" s="33"/>
    </row>
    <row r="212" ht="66.75" customHeight="1">
      <c r="A212" s="69"/>
      <c r="B212" s="69"/>
      <c r="C212" s="69"/>
      <c r="D212" s="8"/>
      <c r="E212" s="68"/>
      <c r="F212" s="33"/>
      <c r="G212" s="68"/>
      <c r="H212" s="68"/>
      <c r="I212" s="33"/>
    </row>
    <row r="213" ht="66.75" customHeight="1">
      <c r="A213" s="69"/>
      <c r="B213" s="69"/>
      <c r="C213" s="69"/>
      <c r="D213" s="8"/>
      <c r="E213" s="68"/>
      <c r="F213" s="33"/>
      <c r="G213" s="68"/>
      <c r="H213" s="68"/>
      <c r="I213" s="33"/>
    </row>
    <row r="214" ht="66.75" customHeight="1">
      <c r="A214" s="69"/>
      <c r="B214" s="69"/>
      <c r="C214" s="69"/>
      <c r="D214" s="8"/>
      <c r="E214" s="68"/>
      <c r="F214" s="33"/>
      <c r="G214" s="68"/>
      <c r="H214" s="68"/>
      <c r="I214" s="33"/>
    </row>
    <row r="215" ht="66.75" customHeight="1">
      <c r="A215" s="69"/>
      <c r="B215" s="69"/>
      <c r="C215" s="69"/>
      <c r="D215" s="8"/>
      <c r="E215" s="68"/>
      <c r="F215" s="33"/>
      <c r="G215" s="68"/>
      <c r="H215" s="68"/>
      <c r="I215" s="33"/>
    </row>
    <row r="216" ht="66.75" customHeight="1">
      <c r="A216" s="69"/>
      <c r="B216" s="69"/>
      <c r="C216" s="69"/>
      <c r="D216" s="8"/>
      <c r="E216" s="68"/>
      <c r="F216" s="33"/>
      <c r="G216" s="68"/>
      <c r="H216" s="68"/>
      <c r="I216" s="33"/>
    </row>
    <row r="217" ht="66.75" customHeight="1">
      <c r="A217" s="69"/>
      <c r="B217" s="69"/>
      <c r="C217" s="69"/>
      <c r="D217" s="8"/>
      <c r="E217" s="68"/>
      <c r="F217" s="33"/>
      <c r="G217" s="68"/>
      <c r="H217" s="68"/>
      <c r="I217" s="33"/>
    </row>
    <row r="218" ht="66.75" customHeight="1">
      <c r="A218" s="69"/>
      <c r="B218" s="69"/>
      <c r="C218" s="69"/>
      <c r="D218" s="8"/>
      <c r="E218" s="68"/>
      <c r="F218" s="33"/>
      <c r="G218" s="68"/>
      <c r="H218" s="68"/>
      <c r="I218" s="33"/>
    </row>
    <row r="219" ht="66.75" customHeight="1">
      <c r="A219" s="69"/>
      <c r="B219" s="69"/>
      <c r="C219" s="69"/>
      <c r="D219" s="8"/>
      <c r="E219" s="68"/>
      <c r="F219" s="33"/>
      <c r="G219" s="68"/>
      <c r="H219" s="68"/>
      <c r="I219" s="33"/>
    </row>
    <row r="220" ht="66.75" customHeight="1">
      <c r="A220" s="69"/>
      <c r="B220" s="69"/>
      <c r="C220" s="69"/>
      <c r="D220" s="8"/>
      <c r="E220" s="68"/>
      <c r="F220" s="33"/>
      <c r="G220" s="68"/>
      <c r="H220" s="68"/>
      <c r="I220" s="3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H3"/>
  </mergeCells>
  <dataValidations>
    <dataValidation type="list" allowBlank="1" showErrorMessage="1" sqref="I20">
      <formula1>"Seleccione aquí canal a utilizar,Glomo,Senda,Gema,Datio,Altamira,Nacar,otros"</formula1>
    </dataValidation>
  </dataValidations>
  <printOptions gridLines="1" horizontalCentered="1"/>
  <pageMargins bottom="0.13584260412488655" footer="0.0" header="0.0" left="0.25" right="0.25" top="0.10449431086529735"/>
  <pageSetup fitToHeight="0" paperSize="9" cellComments="atEnd" orientation="landscape" pageOrder="overThenDown"/>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38"/>
    <col customWidth="1" min="2" max="2" width="4.88"/>
    <col customWidth="1" min="3" max="3" width="25.38"/>
    <col customWidth="1" min="4" max="4" width="29.38"/>
    <col customWidth="1" min="5" max="5" width="38.88"/>
    <col customWidth="1" min="6" max="6" width="61.5"/>
    <col customWidth="1" min="7" max="7" width="31.63"/>
    <col customWidth="1" min="8" max="8" width="12.25"/>
    <col customWidth="1" min="9" max="9" width="27.38"/>
    <col customWidth="1" min="10" max="10" width="33.25"/>
    <col customWidth="1" min="12" max="12" width="42.13"/>
    <col customWidth="1" min="13" max="13" width="19.63"/>
    <col customWidth="1" min="14" max="14" width="34.0"/>
  </cols>
  <sheetData>
    <row r="1">
      <c r="H1" s="1"/>
    </row>
    <row r="2">
      <c r="H2" s="1"/>
    </row>
    <row r="3" ht="35.25" customHeight="1">
      <c r="A3" s="3" t="s">
        <v>0</v>
      </c>
      <c r="B3" s="4" t="s">
        <v>1</v>
      </c>
      <c r="C3" s="4" t="s">
        <v>3</v>
      </c>
      <c r="D3" s="4" t="s">
        <v>4</v>
      </c>
      <c r="E3" s="4" t="s">
        <v>5</v>
      </c>
      <c r="F3" s="7" t="s">
        <v>6</v>
      </c>
      <c r="G3" s="7" t="s">
        <v>6</v>
      </c>
      <c r="H3" s="9" t="s">
        <v>7</v>
      </c>
      <c r="I3" s="9" t="s">
        <v>8</v>
      </c>
      <c r="J3" s="10"/>
      <c r="K3" s="11"/>
      <c r="L3" s="11"/>
      <c r="M3" s="11"/>
      <c r="N3" s="11"/>
      <c r="O3" s="11"/>
      <c r="P3" s="11"/>
      <c r="Q3" s="11"/>
      <c r="R3" s="10"/>
      <c r="S3" s="10"/>
      <c r="T3" s="10"/>
      <c r="U3" s="10"/>
      <c r="V3" s="10"/>
      <c r="W3" s="10"/>
      <c r="X3" s="10"/>
      <c r="Y3" s="10"/>
      <c r="Z3" s="10"/>
      <c r="AA3" s="10"/>
    </row>
    <row r="4">
      <c r="A4" s="13" t="s">
        <v>9</v>
      </c>
      <c r="B4" s="15" t="s">
        <v>13</v>
      </c>
      <c r="C4" s="17" t="s">
        <v>16</v>
      </c>
      <c r="D4" s="17" t="s">
        <v>19</v>
      </c>
      <c r="E4" s="17" t="s">
        <v>20</v>
      </c>
      <c r="F4" s="17" t="s">
        <v>23</v>
      </c>
      <c r="G4" s="19" t="s">
        <v>25</v>
      </c>
      <c r="H4" s="25"/>
      <c r="I4" s="27" t="s">
        <v>27</v>
      </c>
      <c r="J4" s="28" t="s">
        <v>31</v>
      </c>
      <c r="K4" s="29" t="s">
        <v>33</v>
      </c>
      <c r="L4" s="29"/>
      <c r="M4" s="32" t="s">
        <v>36</v>
      </c>
      <c r="N4" s="34" t="s">
        <v>41</v>
      </c>
      <c r="O4" s="29"/>
      <c r="P4" s="29"/>
      <c r="Q4" s="29"/>
      <c r="R4" s="29"/>
      <c r="S4" s="29"/>
      <c r="T4" s="29"/>
      <c r="U4" s="29"/>
      <c r="V4" s="29"/>
      <c r="W4" s="29"/>
      <c r="X4" s="29"/>
      <c r="Y4" s="29"/>
      <c r="Z4" s="29"/>
      <c r="AA4" s="29"/>
    </row>
    <row r="5" ht="274.5" customHeight="1">
      <c r="A5" s="36"/>
      <c r="C5" s="39" t="s">
        <v>49</v>
      </c>
      <c r="D5" s="40" t="s">
        <v>19</v>
      </c>
      <c r="E5" s="42" t="s">
        <v>52</v>
      </c>
      <c r="F5" s="42" t="s">
        <v>53</v>
      </c>
      <c r="G5" s="42" t="s">
        <v>55</v>
      </c>
      <c r="H5" s="46">
        <v>6.0</v>
      </c>
      <c r="I5" s="47" t="s">
        <v>57</v>
      </c>
      <c r="J5" s="49" t="s">
        <v>60</v>
      </c>
      <c r="K5" s="50" t="s">
        <v>61</v>
      </c>
      <c r="L5" s="52" t="s">
        <v>63</v>
      </c>
      <c r="M5" s="1"/>
      <c r="N5" s="1"/>
      <c r="O5" s="1"/>
      <c r="P5" s="1"/>
      <c r="Q5" s="1"/>
      <c r="R5" s="1"/>
      <c r="S5" s="1"/>
      <c r="T5" s="1"/>
      <c r="U5" s="1"/>
      <c r="V5" s="1"/>
      <c r="W5" s="1"/>
      <c r="X5" s="1"/>
      <c r="Y5" s="1"/>
      <c r="Z5" s="1"/>
      <c r="AA5" s="1"/>
    </row>
    <row r="6" ht="255.0" customHeight="1">
      <c r="A6" s="56" t="s">
        <v>9</v>
      </c>
      <c r="B6" s="57">
        <v>2.0</v>
      </c>
      <c r="C6" s="58" t="s">
        <v>64</v>
      </c>
      <c r="D6" s="40" t="s">
        <v>65</v>
      </c>
      <c r="E6" s="40" t="s">
        <v>66</v>
      </c>
      <c r="F6" s="60" t="s">
        <v>67</v>
      </c>
      <c r="G6" s="62" t="s">
        <v>69</v>
      </c>
      <c r="H6" s="46">
        <v>4.0</v>
      </c>
      <c r="I6" s="65" t="s">
        <v>72</v>
      </c>
      <c r="J6" s="66" t="s">
        <v>73</v>
      </c>
      <c r="K6" s="1"/>
      <c r="L6" s="52" t="s">
        <v>75</v>
      </c>
      <c r="M6" s="1"/>
      <c r="N6" s="1"/>
      <c r="O6" s="1"/>
      <c r="P6" s="1"/>
      <c r="Q6" s="1"/>
      <c r="R6" s="1"/>
      <c r="S6" s="1"/>
      <c r="T6" s="1"/>
      <c r="U6" s="1"/>
      <c r="V6" s="1"/>
      <c r="W6" s="1"/>
      <c r="X6" s="1"/>
      <c r="Y6" s="1"/>
      <c r="Z6" s="1"/>
      <c r="AA6" s="1"/>
    </row>
    <row r="7" ht="42.0" customHeight="1">
      <c r="A7" s="56" t="s">
        <v>76</v>
      </c>
      <c r="C7" s="70" t="s">
        <v>78</v>
      </c>
      <c r="D7" s="40" t="s">
        <v>65</v>
      </c>
      <c r="E7" s="40" t="s">
        <v>79</v>
      </c>
      <c r="F7" s="60" t="s">
        <v>80</v>
      </c>
      <c r="G7" s="60" t="s">
        <v>82</v>
      </c>
      <c r="H7" s="71">
        <v>3.0</v>
      </c>
      <c r="I7" s="72" t="s">
        <v>83</v>
      </c>
      <c r="J7" s="1"/>
      <c r="K7" s="1"/>
      <c r="L7" s="1"/>
      <c r="M7" s="1"/>
      <c r="N7" s="1"/>
      <c r="O7" s="1"/>
      <c r="P7" s="1"/>
      <c r="Q7" s="1"/>
      <c r="R7" s="1"/>
      <c r="S7" s="1"/>
      <c r="T7" s="1"/>
      <c r="U7" s="1"/>
      <c r="V7" s="1"/>
      <c r="W7" s="1"/>
      <c r="X7" s="1"/>
      <c r="Y7" s="1"/>
      <c r="Z7" s="1"/>
      <c r="AA7" s="1"/>
    </row>
    <row r="8">
      <c r="A8" s="75" t="s">
        <v>85</v>
      </c>
      <c r="C8" s="76" t="s">
        <v>87</v>
      </c>
      <c r="D8" s="40" t="s">
        <v>88</v>
      </c>
      <c r="E8" s="40" t="s">
        <v>89</v>
      </c>
      <c r="F8" s="60" t="s">
        <v>91</v>
      </c>
      <c r="G8" s="77" t="s">
        <v>92</v>
      </c>
      <c r="H8" s="46">
        <v>2.0</v>
      </c>
      <c r="I8" s="77" t="s">
        <v>93</v>
      </c>
      <c r="J8" s="1"/>
      <c r="K8" s="1"/>
      <c r="L8" s="1"/>
      <c r="M8" s="1"/>
      <c r="N8" s="1"/>
      <c r="O8" s="1"/>
      <c r="P8" s="1"/>
      <c r="Q8" s="1"/>
      <c r="R8" s="1"/>
      <c r="S8" s="1"/>
      <c r="T8" s="1"/>
      <c r="U8" s="1"/>
      <c r="V8" s="1"/>
      <c r="W8" s="1"/>
      <c r="X8" s="1"/>
      <c r="Y8" s="1"/>
      <c r="Z8" s="1"/>
      <c r="AA8" s="1"/>
    </row>
    <row r="9">
      <c r="A9" s="75" t="s">
        <v>85</v>
      </c>
      <c r="C9" s="58" t="s">
        <v>94</v>
      </c>
      <c r="D9" s="40" t="s">
        <v>95</v>
      </c>
      <c r="E9" s="40" t="s">
        <v>96</v>
      </c>
      <c r="F9" s="60" t="s">
        <v>98</v>
      </c>
      <c r="G9" s="77" t="s">
        <v>99</v>
      </c>
      <c r="H9" s="71">
        <v>2.0</v>
      </c>
      <c r="I9" s="77" t="s">
        <v>100</v>
      </c>
      <c r="J9" s="1"/>
      <c r="K9" s="1"/>
      <c r="L9" s="1"/>
      <c r="M9" s="1"/>
      <c r="N9" s="1"/>
      <c r="O9" s="1"/>
      <c r="P9" s="1"/>
      <c r="Q9" s="1"/>
      <c r="R9" s="1"/>
      <c r="S9" s="1"/>
      <c r="T9" s="1"/>
      <c r="U9" s="1"/>
      <c r="V9" s="1"/>
      <c r="W9" s="1"/>
      <c r="X9" s="1"/>
      <c r="Y9" s="1"/>
      <c r="Z9" s="1"/>
      <c r="AA9" s="1"/>
    </row>
    <row r="10">
      <c r="C10" s="82"/>
      <c r="D10" s="82"/>
      <c r="E10" s="82"/>
      <c r="F10" s="82"/>
      <c r="G10" s="84"/>
      <c r="H10" s="71"/>
      <c r="I10" s="84"/>
    </row>
    <row r="11">
      <c r="C11" s="86" t="s">
        <v>105</v>
      </c>
      <c r="H11" s="57"/>
    </row>
    <row r="12">
      <c r="A12" s="1"/>
      <c r="B12" s="1"/>
      <c r="C12" s="87" t="s">
        <v>107</v>
      </c>
      <c r="D12" s="88" t="s">
        <v>88</v>
      </c>
      <c r="E12" s="88" t="s">
        <v>109</v>
      </c>
      <c r="F12" s="88" t="s">
        <v>110</v>
      </c>
      <c r="G12" s="1"/>
      <c r="H12" s="57">
        <v>6.0</v>
      </c>
      <c r="I12" s="1"/>
      <c r="J12" s="1"/>
      <c r="K12" s="1"/>
      <c r="L12" s="1"/>
      <c r="M12" s="1"/>
      <c r="N12" s="1"/>
      <c r="O12" s="1"/>
      <c r="P12" s="1"/>
      <c r="Q12" s="1"/>
      <c r="R12" s="1"/>
      <c r="S12" s="1"/>
      <c r="T12" s="1"/>
      <c r="U12" s="1"/>
      <c r="V12" s="1"/>
      <c r="W12" s="1"/>
      <c r="X12" s="1"/>
      <c r="Y12" s="1"/>
      <c r="Z12" s="1"/>
      <c r="AA12" s="1"/>
    </row>
    <row r="13">
      <c r="A13" s="1"/>
      <c r="B13" s="1"/>
      <c r="C13" s="87" t="s">
        <v>113</v>
      </c>
      <c r="D13" s="88" t="s">
        <v>88</v>
      </c>
      <c r="E13" s="88" t="s">
        <v>109</v>
      </c>
      <c r="F13" s="88" t="s">
        <v>110</v>
      </c>
      <c r="G13" s="1"/>
      <c r="H13" s="57">
        <v>3.0</v>
      </c>
      <c r="I13" s="1"/>
      <c r="J13" s="1"/>
      <c r="K13" s="1"/>
      <c r="L13" s="1"/>
      <c r="M13" s="1"/>
      <c r="N13" s="1"/>
      <c r="O13" s="1"/>
      <c r="P13" s="1"/>
      <c r="Q13" s="1"/>
      <c r="R13" s="1"/>
      <c r="S13" s="1"/>
      <c r="T13" s="1"/>
      <c r="U13" s="1"/>
      <c r="V13" s="1"/>
      <c r="W13" s="1"/>
      <c r="X13" s="1"/>
      <c r="Y13" s="1"/>
      <c r="Z13" s="1"/>
      <c r="AA13" s="1"/>
    </row>
    <row r="14">
      <c r="A14" s="1"/>
      <c r="B14" s="1"/>
      <c r="C14" s="87" t="s">
        <v>115</v>
      </c>
      <c r="D14" s="88" t="s">
        <v>88</v>
      </c>
      <c r="E14" s="88" t="s">
        <v>109</v>
      </c>
      <c r="F14" s="88" t="s">
        <v>110</v>
      </c>
      <c r="G14" s="1"/>
      <c r="H14" s="57">
        <v>5.0</v>
      </c>
      <c r="I14" s="1"/>
      <c r="J14" s="1"/>
      <c r="K14" s="1"/>
      <c r="L14" s="1"/>
      <c r="M14" s="1"/>
      <c r="N14" s="1"/>
      <c r="O14" s="1"/>
      <c r="P14" s="1"/>
      <c r="Q14" s="1"/>
      <c r="R14" s="1"/>
      <c r="S14" s="1"/>
      <c r="T14" s="1"/>
      <c r="U14" s="1"/>
      <c r="V14" s="1"/>
      <c r="W14" s="1"/>
      <c r="X14" s="1"/>
      <c r="Y14" s="1"/>
      <c r="Z14" s="1"/>
      <c r="AA14" s="1"/>
    </row>
    <row r="15">
      <c r="H15" s="1"/>
    </row>
    <row r="16">
      <c r="H16" s="96">
        <f>H5*H6*H7*H9*H12*H13*H14*H8</f>
        <v>25920</v>
      </c>
    </row>
    <row r="17">
      <c r="C17" s="99" t="s">
        <v>125</v>
      </c>
      <c r="D17" s="100"/>
      <c r="E17" s="101" t="s">
        <v>127</v>
      </c>
      <c r="F17" s="101" t="s">
        <v>128</v>
      </c>
      <c r="H17" s="102"/>
    </row>
    <row r="18">
      <c r="H18" s="1"/>
    </row>
    <row r="19">
      <c r="H19" s="1"/>
    </row>
    <row r="20">
      <c r="H20" s="1"/>
    </row>
    <row r="21">
      <c r="A21" s="103"/>
      <c r="B21" s="103"/>
      <c r="C21" s="104" t="s">
        <v>130</v>
      </c>
      <c r="D21" s="105" t="s">
        <v>130</v>
      </c>
      <c r="E21" s="103"/>
      <c r="F21" s="103"/>
      <c r="G21" s="103"/>
      <c r="H21" s="106"/>
      <c r="I21" s="103"/>
      <c r="J21" s="103"/>
      <c r="K21" s="103"/>
      <c r="L21" s="103"/>
      <c r="M21" s="103"/>
      <c r="N21" s="103"/>
      <c r="O21" s="103"/>
      <c r="P21" s="103"/>
      <c r="Q21" s="103"/>
      <c r="R21" s="103"/>
      <c r="S21" s="103"/>
      <c r="T21" s="103"/>
      <c r="U21" s="103"/>
      <c r="V21" s="103"/>
      <c r="W21" s="103"/>
      <c r="X21" s="103"/>
      <c r="Y21" s="103"/>
      <c r="Z21" s="103"/>
      <c r="AA21" s="103"/>
    </row>
    <row r="22">
      <c r="A22" s="103"/>
      <c r="B22" s="103"/>
      <c r="C22" s="104" t="s">
        <v>130</v>
      </c>
      <c r="E22" s="103"/>
      <c r="F22" s="103"/>
      <c r="G22" s="103"/>
      <c r="H22" s="106"/>
      <c r="I22" s="103"/>
      <c r="J22" s="103"/>
      <c r="K22" s="103"/>
      <c r="L22" s="103"/>
      <c r="M22" s="103"/>
      <c r="N22" s="103"/>
      <c r="O22" s="103"/>
      <c r="P22" s="103"/>
      <c r="Q22" s="103"/>
      <c r="R22" s="103"/>
      <c r="S22" s="103"/>
      <c r="T22" s="103"/>
      <c r="U22" s="103"/>
      <c r="V22" s="103"/>
      <c r="W22" s="103"/>
      <c r="X22" s="103"/>
      <c r="Y22" s="103"/>
      <c r="Z22" s="103"/>
      <c r="AA22" s="103"/>
    </row>
    <row r="23">
      <c r="H23" s="1"/>
    </row>
    <row r="24">
      <c r="H24" s="1"/>
    </row>
    <row r="25">
      <c r="H25" s="1"/>
    </row>
    <row r="26">
      <c r="H26" s="1"/>
    </row>
    <row r="27">
      <c r="C27" s="107" t="s">
        <v>131</v>
      </c>
      <c r="G27" s="86" t="s">
        <v>132</v>
      </c>
      <c r="H27" s="108" t="s">
        <v>133</v>
      </c>
      <c r="I27" s="86" t="s">
        <v>134</v>
      </c>
    </row>
    <row r="28">
      <c r="C28" s="86" t="s">
        <v>135</v>
      </c>
      <c r="H28" s="1"/>
    </row>
    <row r="29">
      <c r="C29" s="110" t="s">
        <v>136</v>
      </c>
      <c r="F29" s="111" t="s">
        <v>137</v>
      </c>
      <c r="G29" s="86" t="s">
        <v>138</v>
      </c>
      <c r="H29" s="86" t="s">
        <v>138</v>
      </c>
      <c r="I29" s="86" t="s">
        <v>139</v>
      </c>
    </row>
    <row r="30">
      <c r="C30" s="110" t="s">
        <v>136</v>
      </c>
      <c r="F30" s="111" t="s">
        <v>140</v>
      </c>
      <c r="G30" s="86" t="s">
        <v>141</v>
      </c>
      <c r="H30" s="1" t="s">
        <v>142</v>
      </c>
      <c r="I30" s="86" t="s">
        <v>143</v>
      </c>
    </row>
    <row r="31">
      <c r="C31" s="110" t="s">
        <v>136</v>
      </c>
      <c r="F31" s="111" t="s">
        <v>144</v>
      </c>
      <c r="G31" s="86" t="s">
        <v>141</v>
      </c>
      <c r="H31" s="1" t="s">
        <v>142</v>
      </c>
      <c r="I31" s="86" t="s">
        <v>145</v>
      </c>
    </row>
    <row r="32">
      <c r="C32" s="110" t="s">
        <v>146</v>
      </c>
      <c r="F32" s="111" t="s">
        <v>147</v>
      </c>
      <c r="G32" s="112" t="s">
        <v>141</v>
      </c>
      <c r="H32" s="1" t="s">
        <v>142</v>
      </c>
      <c r="I32" s="112" t="s">
        <v>148</v>
      </c>
    </row>
    <row r="33">
      <c r="C33" s="113" t="s">
        <v>149</v>
      </c>
      <c r="D33" s="114"/>
      <c r="E33" s="114"/>
      <c r="F33" s="114" t="s">
        <v>150</v>
      </c>
      <c r="G33" s="112" t="s">
        <v>141</v>
      </c>
      <c r="H33" s="1" t="s">
        <v>142</v>
      </c>
      <c r="I33" s="112" t="s">
        <v>148</v>
      </c>
    </row>
    <row r="34">
      <c r="C34" s="108" t="s">
        <v>151</v>
      </c>
      <c r="F34" s="111" t="s">
        <v>152</v>
      </c>
      <c r="G34" s="86" t="s">
        <v>141</v>
      </c>
      <c r="H34" s="1" t="s">
        <v>142</v>
      </c>
      <c r="I34" s="86" t="s">
        <v>153</v>
      </c>
    </row>
    <row r="35">
      <c r="F35" s="111" t="s">
        <v>154</v>
      </c>
      <c r="G35" s="112" t="s">
        <v>141</v>
      </c>
      <c r="H35" s="1" t="s">
        <v>142</v>
      </c>
      <c r="I35" s="112" t="s">
        <v>155</v>
      </c>
    </row>
    <row r="37">
      <c r="H37" s="1"/>
    </row>
    <row r="38">
      <c r="F38" s="86" t="s">
        <v>156</v>
      </c>
      <c r="H38" s="1"/>
    </row>
    <row r="39">
      <c r="F39" s="111" t="s">
        <v>157</v>
      </c>
      <c r="G39" s="111" t="s">
        <v>141</v>
      </c>
      <c r="H39" s="1"/>
    </row>
    <row r="40">
      <c r="F40" s="111" t="s">
        <v>158</v>
      </c>
      <c r="G40" s="111" t="s">
        <v>138</v>
      </c>
      <c r="H40" s="1"/>
    </row>
    <row r="41">
      <c r="F41" s="111" t="s">
        <v>159</v>
      </c>
      <c r="G41" s="111" t="s">
        <v>141</v>
      </c>
      <c r="H41" s="1"/>
    </row>
    <row r="42">
      <c r="F42" s="111" t="s">
        <v>160</v>
      </c>
      <c r="G42" s="111" t="s">
        <v>141</v>
      </c>
      <c r="H42" s="1"/>
    </row>
    <row r="43">
      <c r="F43" s="111" t="s">
        <v>161</v>
      </c>
      <c r="G43" s="111" t="s">
        <v>138</v>
      </c>
      <c r="H43" s="1"/>
    </row>
    <row r="44">
      <c r="F44" s="111" t="s">
        <v>162</v>
      </c>
      <c r="G44" s="111" t="s">
        <v>141</v>
      </c>
      <c r="H44" s="1"/>
    </row>
    <row r="45">
      <c r="H45" s="1"/>
    </row>
    <row r="46">
      <c r="H46" s="1"/>
    </row>
    <row r="47">
      <c r="H47" s="1"/>
    </row>
    <row r="48">
      <c r="H48" s="1"/>
    </row>
    <row r="49">
      <c r="H49" s="1"/>
    </row>
    <row r="50">
      <c r="H50" s="1"/>
    </row>
    <row r="51">
      <c r="H51" s="1"/>
    </row>
    <row r="52">
      <c r="H52" s="1"/>
    </row>
    <row r="53">
      <c r="H53" s="1"/>
    </row>
    <row r="54">
      <c r="H54" s="1"/>
    </row>
    <row r="55">
      <c r="H55" s="1"/>
    </row>
    <row r="56">
      <c r="H56" s="1"/>
    </row>
    <row r="57">
      <c r="H57" s="1"/>
    </row>
    <row r="58">
      <c r="H58" s="1"/>
    </row>
    <row r="59">
      <c r="H59" s="1"/>
    </row>
    <row r="60">
      <c r="H60" s="1"/>
    </row>
    <row r="61">
      <c r="H61" s="1"/>
    </row>
    <row r="62">
      <c r="H62" s="1"/>
    </row>
    <row r="63">
      <c r="H63" s="1"/>
    </row>
    <row r="64">
      <c r="H64" s="1"/>
    </row>
    <row r="65">
      <c r="H65" s="1"/>
    </row>
    <row r="66">
      <c r="H66" s="1"/>
    </row>
    <row r="67">
      <c r="H67" s="1"/>
    </row>
    <row r="68">
      <c r="H68" s="1"/>
    </row>
    <row r="69">
      <c r="H69" s="1"/>
    </row>
    <row r="70">
      <c r="H70" s="1"/>
    </row>
    <row r="71">
      <c r="H71" s="1"/>
    </row>
    <row r="72">
      <c r="H72" s="1"/>
    </row>
    <row r="73">
      <c r="H73" s="1"/>
    </row>
    <row r="74">
      <c r="H74" s="1"/>
    </row>
    <row r="75">
      <c r="H75" s="1"/>
    </row>
    <row r="76">
      <c r="H76" s="1"/>
    </row>
    <row r="77">
      <c r="H77" s="1"/>
    </row>
    <row r="78">
      <c r="H78" s="1"/>
    </row>
    <row r="79">
      <c r="H79" s="1"/>
    </row>
    <row r="80">
      <c r="H80" s="1"/>
    </row>
    <row r="81">
      <c r="H81" s="1"/>
    </row>
    <row r="82">
      <c r="H82" s="1"/>
    </row>
    <row r="83">
      <c r="H83" s="1"/>
    </row>
    <row r="84">
      <c r="H84" s="1"/>
    </row>
    <row r="85">
      <c r="H85" s="1"/>
    </row>
    <row r="86">
      <c r="H86" s="1"/>
    </row>
    <row r="87">
      <c r="H87" s="1"/>
    </row>
    <row r="88">
      <c r="H88" s="1"/>
    </row>
    <row r="89">
      <c r="H89" s="1"/>
    </row>
    <row r="90">
      <c r="H90" s="1"/>
    </row>
    <row r="91">
      <c r="H91" s="1"/>
    </row>
    <row r="92">
      <c r="H92" s="1"/>
    </row>
    <row r="93">
      <c r="H93" s="1"/>
    </row>
    <row r="94">
      <c r="H94" s="1"/>
    </row>
    <row r="95">
      <c r="H95" s="1"/>
    </row>
    <row r="96">
      <c r="H96" s="1"/>
    </row>
    <row r="97">
      <c r="H97" s="1"/>
    </row>
    <row r="98">
      <c r="H98" s="1"/>
    </row>
    <row r="99">
      <c r="H99" s="1"/>
    </row>
    <row r="100">
      <c r="H100" s="1"/>
    </row>
    <row r="101">
      <c r="H101" s="1"/>
    </row>
    <row r="102">
      <c r="H102" s="1"/>
    </row>
    <row r="103">
      <c r="H103" s="1"/>
    </row>
    <row r="104">
      <c r="H104" s="1"/>
    </row>
    <row r="105">
      <c r="H105" s="1"/>
    </row>
    <row r="106">
      <c r="H106" s="1"/>
    </row>
    <row r="107">
      <c r="H107" s="1"/>
    </row>
    <row r="108">
      <c r="H108" s="1"/>
    </row>
    <row r="109">
      <c r="H109" s="1"/>
    </row>
    <row r="110">
      <c r="H110" s="1"/>
    </row>
    <row r="111">
      <c r="H111" s="1"/>
    </row>
    <row r="112">
      <c r="H112" s="1"/>
    </row>
    <row r="113">
      <c r="H113" s="1"/>
    </row>
    <row r="114">
      <c r="H114" s="1"/>
    </row>
    <row r="115">
      <c r="H115" s="1"/>
    </row>
    <row r="116">
      <c r="H116" s="1"/>
    </row>
    <row r="117">
      <c r="H117" s="1"/>
    </row>
    <row r="118">
      <c r="H118" s="1"/>
    </row>
    <row r="119">
      <c r="H119" s="1"/>
    </row>
    <row r="120">
      <c r="H120" s="1"/>
    </row>
    <row r="121">
      <c r="H121" s="1"/>
    </row>
    <row r="122">
      <c r="H122" s="1"/>
    </row>
    <row r="123">
      <c r="H123" s="1"/>
    </row>
    <row r="124">
      <c r="H124" s="1"/>
    </row>
    <row r="125">
      <c r="H125" s="1"/>
    </row>
    <row r="126">
      <c r="H126" s="1"/>
    </row>
    <row r="127">
      <c r="H127" s="1"/>
    </row>
    <row r="128">
      <c r="H128" s="1"/>
    </row>
    <row r="129">
      <c r="H129" s="1"/>
    </row>
    <row r="130">
      <c r="H130" s="1"/>
    </row>
    <row r="131">
      <c r="H131" s="1"/>
    </row>
    <row r="132">
      <c r="H132" s="1"/>
    </row>
    <row r="133">
      <c r="H133" s="1"/>
    </row>
    <row r="134">
      <c r="H134" s="1"/>
    </row>
    <row r="135">
      <c r="H135" s="1"/>
    </row>
    <row r="136">
      <c r="H136" s="1"/>
    </row>
    <row r="137">
      <c r="H137" s="1"/>
    </row>
    <row r="138">
      <c r="H138" s="1"/>
    </row>
    <row r="139">
      <c r="H139" s="1"/>
    </row>
    <row r="140">
      <c r="H140" s="1"/>
    </row>
    <row r="141">
      <c r="H141" s="1"/>
    </row>
    <row r="142">
      <c r="H142" s="1"/>
    </row>
    <row r="143">
      <c r="H143" s="1"/>
    </row>
    <row r="144">
      <c r="H144" s="1"/>
    </row>
    <row r="145">
      <c r="H145" s="1"/>
    </row>
    <row r="146">
      <c r="H146" s="1"/>
    </row>
    <row r="147">
      <c r="H147" s="1"/>
    </row>
    <row r="148">
      <c r="H148" s="1"/>
    </row>
    <row r="149">
      <c r="H149" s="1"/>
    </row>
    <row r="150">
      <c r="H150" s="1"/>
    </row>
    <row r="151">
      <c r="H151" s="1"/>
    </row>
    <row r="152">
      <c r="H152" s="1"/>
    </row>
    <row r="153">
      <c r="H153" s="1"/>
    </row>
    <row r="154">
      <c r="H154" s="1"/>
    </row>
    <row r="155">
      <c r="H155" s="1"/>
    </row>
    <row r="156">
      <c r="H156" s="1"/>
    </row>
    <row r="157">
      <c r="H157" s="1"/>
    </row>
    <row r="158">
      <c r="H158" s="1"/>
    </row>
    <row r="159">
      <c r="H159" s="1"/>
    </row>
    <row r="160">
      <c r="H160" s="1"/>
    </row>
    <row r="161">
      <c r="H161" s="1"/>
    </row>
    <row r="162">
      <c r="H162" s="1"/>
    </row>
    <row r="163">
      <c r="H163" s="1"/>
    </row>
    <row r="164">
      <c r="H164" s="1"/>
    </row>
    <row r="165">
      <c r="H165" s="1"/>
    </row>
    <row r="166">
      <c r="H166" s="1"/>
    </row>
    <row r="167">
      <c r="H167" s="1"/>
    </row>
    <row r="168">
      <c r="H168" s="1"/>
    </row>
    <row r="169">
      <c r="H169" s="1"/>
    </row>
    <row r="170">
      <c r="H170" s="1"/>
    </row>
    <row r="171">
      <c r="H171" s="1"/>
    </row>
    <row r="172">
      <c r="H172" s="1"/>
    </row>
    <row r="173">
      <c r="H173" s="1"/>
    </row>
    <row r="174">
      <c r="H174" s="1"/>
    </row>
    <row r="175">
      <c r="H175" s="1"/>
    </row>
    <row r="176">
      <c r="H176" s="1"/>
    </row>
    <row r="177">
      <c r="H177" s="1"/>
    </row>
    <row r="178">
      <c r="H178" s="1"/>
    </row>
    <row r="179">
      <c r="H179" s="1"/>
    </row>
    <row r="180">
      <c r="H180" s="1"/>
    </row>
    <row r="181">
      <c r="H181" s="1"/>
    </row>
    <row r="182">
      <c r="H182" s="1"/>
    </row>
    <row r="183">
      <c r="H183" s="1"/>
    </row>
    <row r="184">
      <c r="H184" s="1"/>
    </row>
    <row r="185">
      <c r="H185" s="1"/>
    </row>
    <row r="186">
      <c r="H186" s="1"/>
    </row>
    <row r="187">
      <c r="H187" s="1"/>
    </row>
    <row r="188">
      <c r="H188" s="1"/>
    </row>
    <row r="189">
      <c r="H189" s="1"/>
    </row>
    <row r="190">
      <c r="H190" s="1"/>
    </row>
    <row r="191">
      <c r="H191" s="1"/>
    </row>
    <row r="192">
      <c r="H192" s="1"/>
    </row>
    <row r="193">
      <c r="H193" s="1"/>
    </row>
    <row r="194">
      <c r="H194" s="1"/>
    </row>
    <row r="195">
      <c r="H195" s="1"/>
    </row>
    <row r="196">
      <c r="H196" s="1"/>
    </row>
    <row r="197">
      <c r="H197" s="1"/>
    </row>
    <row r="198">
      <c r="H198" s="1"/>
    </row>
    <row r="199">
      <c r="H199" s="1"/>
    </row>
    <row r="200">
      <c r="H200" s="1"/>
    </row>
    <row r="201">
      <c r="H201" s="1"/>
    </row>
    <row r="202">
      <c r="H202" s="1"/>
    </row>
    <row r="203">
      <c r="H203" s="1"/>
    </row>
    <row r="204">
      <c r="H204" s="1"/>
    </row>
    <row r="205">
      <c r="H205" s="1"/>
    </row>
    <row r="206">
      <c r="H206" s="1"/>
    </row>
    <row r="207">
      <c r="H207" s="1"/>
    </row>
    <row r="208">
      <c r="H208" s="1"/>
    </row>
    <row r="209">
      <c r="H209" s="1"/>
    </row>
    <row r="210">
      <c r="H210" s="1"/>
    </row>
    <row r="211">
      <c r="H211" s="1"/>
    </row>
    <row r="212">
      <c r="H212" s="1"/>
    </row>
    <row r="213">
      <c r="H213" s="1"/>
    </row>
    <row r="214">
      <c r="H214" s="1"/>
    </row>
    <row r="215">
      <c r="H215" s="1"/>
    </row>
    <row r="216">
      <c r="H216" s="1"/>
    </row>
    <row r="217">
      <c r="H217" s="1"/>
    </row>
    <row r="218">
      <c r="H218" s="1"/>
    </row>
    <row r="219">
      <c r="H219" s="1"/>
    </row>
    <row r="220">
      <c r="H220" s="1"/>
    </row>
    <row r="221">
      <c r="H221" s="1"/>
    </row>
    <row r="222">
      <c r="H222" s="1"/>
    </row>
    <row r="223">
      <c r="H223" s="1"/>
    </row>
    <row r="224">
      <c r="H224" s="1"/>
    </row>
    <row r="225">
      <c r="H225" s="1"/>
    </row>
    <row r="226">
      <c r="H226" s="1"/>
    </row>
    <row r="227">
      <c r="H227" s="1"/>
    </row>
    <row r="228">
      <c r="H228" s="1"/>
    </row>
    <row r="229">
      <c r="H229" s="1"/>
    </row>
    <row r="230">
      <c r="H230" s="1"/>
    </row>
    <row r="231">
      <c r="H231" s="1"/>
    </row>
    <row r="232">
      <c r="H232" s="1"/>
    </row>
    <row r="233">
      <c r="H233" s="1"/>
    </row>
    <row r="234">
      <c r="H234" s="1"/>
    </row>
    <row r="235">
      <c r="H235" s="1"/>
    </row>
    <row r="236">
      <c r="H236" s="1"/>
    </row>
    <row r="237">
      <c r="H237" s="1"/>
    </row>
    <row r="238">
      <c r="H238" s="1"/>
    </row>
    <row r="239">
      <c r="H239" s="1"/>
    </row>
    <row r="240">
      <c r="H240" s="1"/>
    </row>
    <row r="241">
      <c r="H241" s="1"/>
    </row>
    <row r="242">
      <c r="H242" s="1"/>
    </row>
    <row r="243">
      <c r="H243" s="1"/>
    </row>
    <row r="244">
      <c r="H244" s="1"/>
    </row>
    <row r="245">
      <c r="H245" s="1"/>
    </row>
    <row r="246">
      <c r="H246" s="1"/>
    </row>
    <row r="247">
      <c r="H247" s="1"/>
    </row>
    <row r="248">
      <c r="H248" s="1"/>
    </row>
    <row r="249">
      <c r="H249" s="1"/>
    </row>
    <row r="250">
      <c r="H250" s="1"/>
    </row>
    <row r="251">
      <c r="H251" s="1"/>
    </row>
    <row r="252">
      <c r="H252" s="1"/>
    </row>
    <row r="253">
      <c r="H253" s="1"/>
    </row>
    <row r="254">
      <c r="H254" s="1"/>
    </row>
    <row r="255">
      <c r="H255" s="1"/>
    </row>
    <row r="256">
      <c r="H256" s="1"/>
    </row>
    <row r="257">
      <c r="H257" s="1"/>
    </row>
    <row r="258">
      <c r="H258" s="1"/>
    </row>
    <row r="259">
      <c r="H259" s="1"/>
    </row>
    <row r="260">
      <c r="H260" s="1"/>
    </row>
    <row r="261">
      <c r="H261" s="1"/>
    </row>
    <row r="262">
      <c r="H262" s="1"/>
    </row>
    <row r="263">
      <c r="H263" s="1"/>
    </row>
    <row r="264">
      <c r="H264" s="1"/>
    </row>
    <row r="265">
      <c r="H265" s="1"/>
    </row>
    <row r="266">
      <c r="H266" s="1"/>
    </row>
    <row r="267">
      <c r="H267" s="1"/>
    </row>
    <row r="268">
      <c r="H268" s="1"/>
    </row>
    <row r="269">
      <c r="H269" s="1"/>
    </row>
    <row r="270">
      <c r="H270" s="1"/>
    </row>
    <row r="271">
      <c r="H271" s="1"/>
    </row>
    <row r="272">
      <c r="H272" s="1"/>
    </row>
    <row r="273">
      <c r="H273" s="1"/>
    </row>
    <row r="274">
      <c r="H274" s="1"/>
    </row>
    <row r="275">
      <c r="H275" s="1"/>
    </row>
    <row r="276">
      <c r="H276" s="1"/>
    </row>
    <row r="277">
      <c r="H277" s="1"/>
    </row>
    <row r="278">
      <c r="H278" s="1"/>
    </row>
    <row r="279">
      <c r="H279" s="1"/>
    </row>
    <row r="280">
      <c r="H280" s="1"/>
    </row>
    <row r="281">
      <c r="H281" s="1"/>
    </row>
    <row r="282">
      <c r="H282" s="1"/>
    </row>
    <row r="283">
      <c r="H283" s="1"/>
    </row>
    <row r="284">
      <c r="H284" s="1"/>
    </row>
    <row r="285">
      <c r="H285" s="1"/>
    </row>
    <row r="286">
      <c r="H286" s="1"/>
    </row>
    <row r="287">
      <c r="H287" s="1"/>
    </row>
    <row r="288">
      <c r="H288" s="1"/>
    </row>
    <row r="289">
      <c r="H289" s="1"/>
    </row>
    <row r="290">
      <c r="H290" s="1"/>
    </row>
    <row r="291">
      <c r="H291" s="1"/>
    </row>
    <row r="292">
      <c r="H292" s="1"/>
    </row>
    <row r="293">
      <c r="H293" s="1"/>
    </row>
    <row r="294">
      <c r="H294" s="1"/>
    </row>
    <row r="295">
      <c r="H295" s="1"/>
    </row>
    <row r="296">
      <c r="H296" s="1"/>
    </row>
    <row r="297">
      <c r="H297" s="1"/>
    </row>
    <row r="298">
      <c r="H298" s="1"/>
    </row>
    <row r="299">
      <c r="H299" s="1"/>
    </row>
    <row r="300">
      <c r="H300" s="1"/>
    </row>
    <row r="301">
      <c r="H301" s="1"/>
    </row>
    <row r="302">
      <c r="H302" s="1"/>
    </row>
    <row r="303">
      <c r="H303" s="1"/>
    </row>
    <row r="304">
      <c r="H304" s="1"/>
    </row>
    <row r="305">
      <c r="H305" s="1"/>
    </row>
    <row r="306">
      <c r="H306" s="1"/>
    </row>
    <row r="307">
      <c r="H307" s="1"/>
    </row>
    <row r="308">
      <c r="H308" s="1"/>
    </row>
    <row r="309">
      <c r="H309" s="1"/>
    </row>
    <row r="310">
      <c r="H310" s="1"/>
    </row>
    <row r="311">
      <c r="H311" s="1"/>
    </row>
    <row r="312">
      <c r="H312" s="1"/>
    </row>
    <row r="313">
      <c r="H313" s="1"/>
    </row>
    <row r="314">
      <c r="H314" s="1"/>
    </row>
    <row r="315">
      <c r="H315" s="1"/>
    </row>
    <row r="316">
      <c r="H316" s="1"/>
    </row>
    <row r="317">
      <c r="H317" s="1"/>
    </row>
    <row r="318">
      <c r="H318" s="1"/>
    </row>
    <row r="319">
      <c r="H319" s="1"/>
    </row>
    <row r="320">
      <c r="H320" s="1"/>
    </row>
    <row r="321">
      <c r="H321" s="1"/>
    </row>
    <row r="322">
      <c r="H322" s="1"/>
    </row>
    <row r="323">
      <c r="H323" s="1"/>
    </row>
    <row r="324">
      <c r="H324" s="1"/>
    </row>
    <row r="325">
      <c r="H325" s="1"/>
    </row>
    <row r="326">
      <c r="H326" s="1"/>
    </row>
    <row r="327">
      <c r="H327" s="1"/>
    </row>
    <row r="328">
      <c r="H328" s="1"/>
    </row>
    <row r="329">
      <c r="H329" s="1"/>
    </row>
    <row r="330">
      <c r="H330" s="1"/>
    </row>
    <row r="331">
      <c r="H331" s="1"/>
    </row>
    <row r="332">
      <c r="H332" s="1"/>
    </row>
    <row r="333">
      <c r="H333" s="1"/>
    </row>
    <row r="334">
      <c r="H334" s="1"/>
    </row>
    <row r="335">
      <c r="H335" s="1"/>
    </row>
    <row r="336">
      <c r="H336" s="1"/>
    </row>
    <row r="337">
      <c r="H337" s="1"/>
    </row>
    <row r="338">
      <c r="H338" s="1"/>
    </row>
    <row r="339">
      <c r="H339" s="1"/>
    </row>
    <row r="340">
      <c r="H340" s="1"/>
    </row>
    <row r="341">
      <c r="H341" s="1"/>
    </row>
    <row r="342">
      <c r="H342" s="1"/>
    </row>
    <row r="343">
      <c r="H343" s="1"/>
    </row>
    <row r="344">
      <c r="H344" s="1"/>
    </row>
    <row r="345">
      <c r="H345" s="1"/>
    </row>
    <row r="346">
      <c r="H346" s="1"/>
    </row>
    <row r="347">
      <c r="H347" s="1"/>
    </row>
    <row r="348">
      <c r="H348" s="1"/>
    </row>
    <row r="349">
      <c r="H349" s="1"/>
    </row>
    <row r="350">
      <c r="H350" s="1"/>
    </row>
    <row r="351">
      <c r="H351" s="1"/>
    </row>
    <row r="352">
      <c r="H352" s="1"/>
    </row>
    <row r="353">
      <c r="H353" s="1"/>
    </row>
    <row r="354">
      <c r="H354" s="1"/>
    </row>
    <row r="355">
      <c r="H355" s="1"/>
    </row>
    <row r="356">
      <c r="H356" s="1"/>
    </row>
    <row r="357">
      <c r="H357" s="1"/>
    </row>
    <row r="358">
      <c r="H358" s="1"/>
    </row>
    <row r="359">
      <c r="H359" s="1"/>
    </row>
    <row r="360">
      <c r="H360" s="1"/>
    </row>
    <row r="361">
      <c r="H361" s="1"/>
    </row>
    <row r="362">
      <c r="H362" s="1"/>
    </row>
    <row r="363">
      <c r="H363" s="1"/>
    </row>
    <row r="364">
      <c r="H364" s="1"/>
    </row>
    <row r="365">
      <c r="H365" s="1"/>
    </row>
    <row r="366">
      <c r="H366" s="1"/>
    </row>
    <row r="367">
      <c r="H367" s="1"/>
    </row>
    <row r="368">
      <c r="H368" s="1"/>
    </row>
    <row r="369">
      <c r="H369" s="1"/>
    </row>
    <row r="370">
      <c r="H370" s="1"/>
    </row>
    <row r="371">
      <c r="H371" s="1"/>
    </row>
    <row r="372">
      <c r="H372" s="1"/>
    </row>
    <row r="373">
      <c r="H373" s="1"/>
    </row>
    <row r="374">
      <c r="H374" s="1"/>
    </row>
    <row r="375">
      <c r="H375" s="1"/>
    </row>
    <row r="376">
      <c r="H376" s="1"/>
    </row>
    <row r="377">
      <c r="H377" s="1"/>
    </row>
    <row r="378">
      <c r="H378" s="1"/>
    </row>
    <row r="379">
      <c r="H379" s="1"/>
    </row>
    <row r="380">
      <c r="H380" s="1"/>
    </row>
    <row r="381">
      <c r="H381" s="1"/>
    </row>
    <row r="382">
      <c r="H382" s="1"/>
    </row>
    <row r="383">
      <c r="H383" s="1"/>
    </row>
    <row r="384">
      <c r="H384" s="1"/>
    </row>
    <row r="385">
      <c r="H385" s="1"/>
    </row>
    <row r="386">
      <c r="H386" s="1"/>
    </row>
    <row r="387">
      <c r="H387" s="1"/>
    </row>
    <row r="388">
      <c r="H388" s="1"/>
    </row>
    <row r="389">
      <c r="H389" s="1"/>
    </row>
    <row r="390">
      <c r="H390" s="1"/>
    </row>
    <row r="391">
      <c r="H391" s="1"/>
    </row>
    <row r="392">
      <c r="H392" s="1"/>
    </row>
    <row r="393">
      <c r="H393" s="1"/>
    </row>
    <row r="394">
      <c r="H394" s="1"/>
    </row>
    <row r="395">
      <c r="H395" s="1"/>
    </row>
    <row r="396">
      <c r="H396" s="1"/>
    </row>
    <row r="397">
      <c r="H397" s="1"/>
    </row>
    <row r="398">
      <c r="H398" s="1"/>
    </row>
    <row r="399">
      <c r="H399" s="1"/>
    </row>
    <row r="400">
      <c r="H400" s="1"/>
    </row>
    <row r="401">
      <c r="H401" s="1"/>
    </row>
    <row r="402">
      <c r="H402" s="1"/>
    </row>
    <row r="403">
      <c r="H403" s="1"/>
    </row>
    <row r="404">
      <c r="H404" s="1"/>
    </row>
    <row r="405">
      <c r="H405" s="1"/>
    </row>
    <row r="406">
      <c r="H406" s="1"/>
    </row>
    <row r="407">
      <c r="H407" s="1"/>
    </row>
    <row r="408">
      <c r="H408" s="1"/>
    </row>
    <row r="409">
      <c r="H409" s="1"/>
    </row>
    <row r="410">
      <c r="H410" s="1"/>
    </row>
    <row r="411">
      <c r="H411" s="1"/>
    </row>
    <row r="412">
      <c r="H412" s="1"/>
    </row>
    <row r="413">
      <c r="H413" s="1"/>
    </row>
    <row r="414">
      <c r="H414" s="1"/>
    </row>
    <row r="415">
      <c r="H415" s="1"/>
    </row>
    <row r="416">
      <c r="H416" s="1"/>
    </row>
    <row r="417">
      <c r="H417" s="1"/>
    </row>
    <row r="418">
      <c r="H418" s="1"/>
    </row>
    <row r="419">
      <c r="H419" s="1"/>
    </row>
    <row r="420">
      <c r="H420" s="1"/>
    </row>
    <row r="421">
      <c r="H421" s="1"/>
    </row>
    <row r="422">
      <c r="H422" s="1"/>
    </row>
    <row r="423">
      <c r="H423" s="1"/>
    </row>
    <row r="424">
      <c r="H424" s="1"/>
    </row>
    <row r="425">
      <c r="H425" s="1"/>
    </row>
    <row r="426">
      <c r="H426" s="1"/>
    </row>
    <row r="427">
      <c r="H427" s="1"/>
    </row>
    <row r="428">
      <c r="H428" s="1"/>
    </row>
    <row r="429">
      <c r="H429" s="1"/>
    </row>
    <row r="430">
      <c r="H430" s="1"/>
    </row>
    <row r="431">
      <c r="H431" s="1"/>
    </row>
    <row r="432">
      <c r="H432" s="1"/>
    </row>
    <row r="433">
      <c r="H433" s="1"/>
    </row>
    <row r="434">
      <c r="H434" s="1"/>
    </row>
    <row r="435">
      <c r="H435" s="1"/>
    </row>
    <row r="436">
      <c r="H436" s="1"/>
    </row>
    <row r="437">
      <c r="H437" s="1"/>
    </row>
    <row r="438">
      <c r="H438" s="1"/>
    </row>
    <row r="439">
      <c r="H439" s="1"/>
    </row>
    <row r="440">
      <c r="H440" s="1"/>
    </row>
    <row r="441">
      <c r="H441" s="1"/>
    </row>
    <row r="442">
      <c r="H442" s="1"/>
    </row>
    <row r="443">
      <c r="H443" s="1"/>
    </row>
    <row r="444">
      <c r="H444" s="1"/>
    </row>
    <row r="445">
      <c r="H445" s="1"/>
    </row>
    <row r="446">
      <c r="H446" s="1"/>
    </row>
    <row r="447">
      <c r="H447" s="1"/>
    </row>
    <row r="448">
      <c r="H448" s="1"/>
    </row>
    <row r="449">
      <c r="H449" s="1"/>
    </row>
    <row r="450">
      <c r="H450" s="1"/>
    </row>
    <row r="451">
      <c r="H451" s="1"/>
    </row>
    <row r="452">
      <c r="H452" s="1"/>
    </row>
    <row r="453">
      <c r="H453" s="1"/>
    </row>
    <row r="454">
      <c r="H454" s="1"/>
    </row>
    <row r="455">
      <c r="H455" s="1"/>
    </row>
    <row r="456">
      <c r="H456" s="1"/>
    </row>
    <row r="457">
      <c r="H457" s="1"/>
    </row>
    <row r="458">
      <c r="H458" s="1"/>
    </row>
    <row r="459">
      <c r="H459" s="1"/>
    </row>
    <row r="460">
      <c r="H460" s="1"/>
    </row>
    <row r="461">
      <c r="H461" s="1"/>
    </row>
    <row r="462">
      <c r="H462" s="1"/>
    </row>
    <row r="463">
      <c r="H463" s="1"/>
    </row>
    <row r="464">
      <c r="H464" s="1"/>
    </row>
    <row r="465">
      <c r="H465" s="1"/>
    </row>
    <row r="466">
      <c r="H466" s="1"/>
    </row>
    <row r="467">
      <c r="H467" s="1"/>
    </row>
    <row r="468">
      <c r="H468" s="1"/>
    </row>
    <row r="469">
      <c r="H469" s="1"/>
    </row>
    <row r="470">
      <c r="H470" s="1"/>
    </row>
    <row r="471">
      <c r="H471" s="1"/>
    </row>
    <row r="472">
      <c r="H472" s="1"/>
    </row>
    <row r="473">
      <c r="H473" s="1"/>
    </row>
    <row r="474">
      <c r="H474" s="1"/>
    </row>
    <row r="475">
      <c r="H475" s="1"/>
    </row>
    <row r="476">
      <c r="H476" s="1"/>
    </row>
    <row r="477">
      <c r="H477" s="1"/>
    </row>
    <row r="478">
      <c r="H478" s="1"/>
    </row>
    <row r="479">
      <c r="H479" s="1"/>
    </row>
    <row r="480">
      <c r="H480" s="1"/>
    </row>
    <row r="481">
      <c r="H481" s="1"/>
    </row>
    <row r="482">
      <c r="H482" s="1"/>
    </row>
    <row r="483">
      <c r="H483" s="1"/>
    </row>
    <row r="484">
      <c r="H484" s="1"/>
    </row>
    <row r="485">
      <c r="H485" s="1"/>
    </row>
    <row r="486">
      <c r="H486" s="1"/>
    </row>
    <row r="487">
      <c r="H487" s="1"/>
    </row>
    <row r="488">
      <c r="H488" s="1"/>
    </row>
    <row r="489">
      <c r="H489" s="1"/>
    </row>
    <row r="490">
      <c r="H490" s="1"/>
    </row>
    <row r="491">
      <c r="H491" s="1"/>
    </row>
    <row r="492">
      <c r="H492" s="1"/>
    </row>
    <row r="493">
      <c r="H493" s="1"/>
    </row>
    <row r="494">
      <c r="H494" s="1"/>
    </row>
    <row r="495">
      <c r="H495" s="1"/>
    </row>
    <row r="496">
      <c r="H496" s="1"/>
    </row>
    <row r="497">
      <c r="H497" s="1"/>
    </row>
    <row r="498">
      <c r="H498" s="1"/>
    </row>
    <row r="499">
      <c r="H499" s="1"/>
    </row>
    <row r="500">
      <c r="H500" s="1"/>
    </row>
    <row r="501">
      <c r="H501" s="1"/>
    </row>
    <row r="502">
      <c r="H502" s="1"/>
    </row>
    <row r="503">
      <c r="H503" s="1"/>
    </row>
    <row r="504">
      <c r="H504" s="1"/>
    </row>
    <row r="505">
      <c r="H505" s="1"/>
    </row>
    <row r="506">
      <c r="H506" s="1"/>
    </row>
    <row r="507">
      <c r="H507" s="1"/>
    </row>
    <row r="508">
      <c r="H508" s="1"/>
    </row>
    <row r="509">
      <c r="H509" s="1"/>
    </row>
    <row r="510">
      <c r="H510" s="1"/>
    </row>
    <row r="511">
      <c r="H511" s="1"/>
    </row>
    <row r="512">
      <c r="H512" s="1"/>
    </row>
    <row r="513">
      <c r="H513" s="1"/>
    </row>
    <row r="514">
      <c r="H514" s="1"/>
    </row>
    <row r="515">
      <c r="H515" s="1"/>
    </row>
    <row r="516">
      <c r="H516" s="1"/>
    </row>
    <row r="517">
      <c r="H517" s="1"/>
    </row>
    <row r="518">
      <c r="H518" s="1"/>
    </row>
    <row r="519">
      <c r="H519" s="1"/>
    </row>
    <row r="520">
      <c r="H520" s="1"/>
    </row>
    <row r="521">
      <c r="H521" s="1"/>
    </row>
    <row r="522">
      <c r="H522" s="1"/>
    </row>
    <row r="523">
      <c r="H523" s="1"/>
    </row>
    <row r="524">
      <c r="H524" s="1"/>
    </row>
    <row r="525">
      <c r="H525" s="1"/>
    </row>
    <row r="526">
      <c r="H526" s="1"/>
    </row>
    <row r="527">
      <c r="H527" s="1"/>
    </row>
    <row r="528">
      <c r="H528" s="1"/>
    </row>
    <row r="529">
      <c r="H529" s="1"/>
    </row>
    <row r="530">
      <c r="H530" s="1"/>
    </row>
    <row r="531">
      <c r="H531" s="1"/>
    </row>
    <row r="532">
      <c r="H532" s="1"/>
    </row>
    <row r="533">
      <c r="H533" s="1"/>
    </row>
    <row r="534">
      <c r="H534" s="1"/>
    </row>
    <row r="535">
      <c r="H535" s="1"/>
    </row>
    <row r="536">
      <c r="H536" s="1"/>
    </row>
    <row r="537">
      <c r="H537" s="1"/>
    </row>
    <row r="538">
      <c r="H538" s="1"/>
    </row>
    <row r="539">
      <c r="H539" s="1"/>
    </row>
    <row r="540">
      <c r="H540" s="1"/>
    </row>
    <row r="541">
      <c r="H541" s="1"/>
    </row>
    <row r="542">
      <c r="H542" s="1"/>
    </row>
    <row r="543">
      <c r="H543" s="1"/>
    </row>
    <row r="544">
      <c r="H544" s="1"/>
    </row>
    <row r="545">
      <c r="H545" s="1"/>
    </row>
    <row r="546">
      <c r="H546" s="1"/>
    </row>
    <row r="547">
      <c r="H547" s="1"/>
    </row>
    <row r="548">
      <c r="H548" s="1"/>
    </row>
    <row r="549">
      <c r="H549" s="1"/>
    </row>
    <row r="550">
      <c r="H550" s="1"/>
    </row>
    <row r="551">
      <c r="H551" s="1"/>
    </row>
    <row r="552">
      <c r="H552" s="1"/>
    </row>
    <row r="553">
      <c r="H553" s="1"/>
    </row>
    <row r="554">
      <c r="H554" s="1"/>
    </row>
    <row r="555">
      <c r="H555" s="1"/>
    </row>
    <row r="556">
      <c r="H556" s="1"/>
    </row>
    <row r="557">
      <c r="H557" s="1"/>
    </row>
    <row r="558">
      <c r="H558" s="1"/>
    </row>
    <row r="559">
      <c r="H559" s="1"/>
    </row>
    <row r="560">
      <c r="H560" s="1"/>
    </row>
    <row r="561">
      <c r="H561" s="1"/>
    </row>
    <row r="562">
      <c r="H562" s="1"/>
    </row>
    <row r="563">
      <c r="H563" s="1"/>
    </row>
    <row r="564">
      <c r="H564" s="1"/>
    </row>
    <row r="565">
      <c r="H565" s="1"/>
    </row>
    <row r="566">
      <c r="H566" s="1"/>
    </row>
    <row r="567">
      <c r="H567" s="1"/>
    </row>
    <row r="568">
      <c r="H568" s="1"/>
    </row>
    <row r="569">
      <c r="H569" s="1"/>
    </row>
    <row r="570">
      <c r="H570" s="1"/>
    </row>
    <row r="571">
      <c r="H571" s="1"/>
    </row>
    <row r="572">
      <c r="H572" s="1"/>
    </row>
    <row r="573">
      <c r="H573" s="1"/>
    </row>
    <row r="574">
      <c r="H574" s="1"/>
    </row>
    <row r="575">
      <c r="H575" s="1"/>
    </row>
    <row r="576">
      <c r="H576" s="1"/>
    </row>
    <row r="577">
      <c r="H577" s="1"/>
    </row>
    <row r="578">
      <c r="H578" s="1"/>
    </row>
    <row r="579">
      <c r="H579" s="1"/>
    </row>
    <row r="580">
      <c r="H580" s="1"/>
    </row>
    <row r="581">
      <c r="H581" s="1"/>
    </row>
    <row r="582">
      <c r="H582" s="1"/>
    </row>
    <row r="583">
      <c r="H583" s="1"/>
    </row>
    <row r="584">
      <c r="H584" s="1"/>
    </row>
    <row r="585">
      <c r="H585" s="1"/>
    </row>
    <row r="586">
      <c r="H586" s="1"/>
    </row>
    <row r="587">
      <c r="H587" s="1"/>
    </row>
    <row r="588">
      <c r="H588" s="1"/>
    </row>
    <row r="589">
      <c r="H589" s="1"/>
    </row>
    <row r="590">
      <c r="H590" s="1"/>
    </row>
    <row r="591">
      <c r="H591" s="1"/>
    </row>
    <row r="592">
      <c r="H592" s="1"/>
    </row>
    <row r="593">
      <c r="H593" s="1"/>
    </row>
    <row r="594">
      <c r="H594" s="1"/>
    </row>
    <row r="595">
      <c r="H595" s="1"/>
    </row>
    <row r="596">
      <c r="H596" s="1"/>
    </row>
    <row r="597">
      <c r="H597" s="1"/>
    </row>
    <row r="598">
      <c r="H598" s="1"/>
    </row>
    <row r="599">
      <c r="H599" s="1"/>
    </row>
    <row r="600">
      <c r="H600" s="1"/>
    </row>
    <row r="601">
      <c r="H601" s="1"/>
    </row>
    <row r="602">
      <c r="H602" s="1"/>
    </row>
    <row r="603">
      <c r="H603" s="1"/>
    </row>
    <row r="604">
      <c r="H604" s="1"/>
    </row>
    <row r="605">
      <c r="H605" s="1"/>
    </row>
    <row r="606">
      <c r="H606" s="1"/>
    </row>
    <row r="607">
      <c r="H607" s="1"/>
    </row>
    <row r="608">
      <c r="H608" s="1"/>
    </row>
    <row r="609">
      <c r="H609" s="1"/>
    </row>
    <row r="610">
      <c r="H610" s="1"/>
    </row>
    <row r="611">
      <c r="H611" s="1"/>
    </row>
    <row r="612">
      <c r="H612" s="1"/>
    </row>
    <row r="613">
      <c r="H613" s="1"/>
    </row>
    <row r="614">
      <c r="H614" s="1"/>
    </row>
    <row r="615">
      <c r="H615" s="1"/>
    </row>
    <row r="616">
      <c r="H616" s="1"/>
    </row>
    <row r="617">
      <c r="H617" s="1"/>
    </row>
    <row r="618">
      <c r="H618" s="1"/>
    </row>
    <row r="619">
      <c r="H619" s="1"/>
    </row>
    <row r="620">
      <c r="H620" s="1"/>
    </row>
    <row r="621">
      <c r="H621" s="1"/>
    </row>
    <row r="622">
      <c r="H622" s="1"/>
    </row>
    <row r="623">
      <c r="H623" s="1"/>
    </row>
    <row r="624">
      <c r="H624" s="1"/>
    </row>
    <row r="625">
      <c r="H625" s="1"/>
    </row>
    <row r="626">
      <c r="H626" s="1"/>
    </row>
    <row r="627">
      <c r="H627" s="1"/>
    </row>
    <row r="628">
      <c r="H628" s="1"/>
    </row>
    <row r="629">
      <c r="H629" s="1"/>
    </row>
    <row r="630">
      <c r="H630" s="1"/>
    </row>
    <row r="631">
      <c r="H631" s="1"/>
    </row>
    <row r="632">
      <c r="H632" s="1"/>
    </row>
    <row r="633">
      <c r="H633" s="1"/>
    </row>
    <row r="634">
      <c r="H634" s="1"/>
    </row>
    <row r="635">
      <c r="H635" s="1"/>
    </row>
    <row r="636">
      <c r="H636" s="1"/>
    </row>
    <row r="637">
      <c r="H637" s="1"/>
    </row>
    <row r="638">
      <c r="H638" s="1"/>
    </row>
    <row r="639">
      <c r="H639" s="1"/>
    </row>
    <row r="640">
      <c r="H640" s="1"/>
    </row>
    <row r="641">
      <c r="H641" s="1"/>
    </row>
    <row r="642">
      <c r="H642" s="1"/>
    </row>
    <row r="643">
      <c r="H643" s="1"/>
    </row>
    <row r="644">
      <c r="H644" s="1"/>
    </row>
    <row r="645">
      <c r="H645" s="1"/>
    </row>
    <row r="646">
      <c r="H646" s="1"/>
    </row>
    <row r="647">
      <c r="H647" s="1"/>
    </row>
    <row r="648">
      <c r="H648" s="1"/>
    </row>
    <row r="649">
      <c r="H649" s="1"/>
    </row>
    <row r="650">
      <c r="H650" s="1"/>
    </row>
    <row r="651">
      <c r="H651" s="1"/>
    </row>
    <row r="652">
      <c r="H652" s="1"/>
    </row>
    <row r="653">
      <c r="H653" s="1"/>
    </row>
    <row r="654">
      <c r="H654" s="1"/>
    </row>
    <row r="655">
      <c r="H655" s="1"/>
    </row>
    <row r="656">
      <c r="H656" s="1"/>
    </row>
    <row r="657">
      <c r="H657" s="1"/>
    </row>
    <row r="658">
      <c r="H658" s="1"/>
    </row>
    <row r="659">
      <c r="H659" s="1"/>
    </row>
    <row r="660">
      <c r="H660" s="1"/>
    </row>
    <row r="661">
      <c r="H661" s="1"/>
    </row>
    <row r="662">
      <c r="H662" s="1"/>
    </row>
    <row r="663">
      <c r="H663" s="1"/>
    </row>
    <row r="664">
      <c r="H664" s="1"/>
    </row>
    <row r="665">
      <c r="H665" s="1"/>
    </row>
    <row r="666">
      <c r="H666" s="1"/>
    </row>
    <row r="667">
      <c r="H667" s="1"/>
    </row>
    <row r="668">
      <c r="H668" s="1"/>
    </row>
    <row r="669">
      <c r="H669" s="1"/>
    </row>
    <row r="670">
      <c r="H670" s="1"/>
    </row>
    <row r="671">
      <c r="H671" s="1"/>
    </row>
    <row r="672">
      <c r="H672" s="1"/>
    </row>
    <row r="673">
      <c r="H673" s="1"/>
    </row>
    <row r="674">
      <c r="H674" s="1"/>
    </row>
    <row r="675">
      <c r="H675" s="1"/>
    </row>
    <row r="676">
      <c r="H676" s="1"/>
    </row>
    <row r="677">
      <c r="H677" s="1"/>
    </row>
    <row r="678">
      <c r="H678" s="1"/>
    </row>
    <row r="679">
      <c r="H679" s="1"/>
    </row>
    <row r="680">
      <c r="H680" s="1"/>
    </row>
    <row r="681">
      <c r="H681" s="1"/>
    </row>
    <row r="682">
      <c r="H682" s="1"/>
    </row>
    <row r="683">
      <c r="H683" s="1"/>
    </row>
    <row r="684">
      <c r="H684" s="1"/>
    </row>
    <row r="685">
      <c r="H685" s="1"/>
    </row>
    <row r="686">
      <c r="H686" s="1"/>
    </row>
    <row r="687">
      <c r="H687" s="1"/>
    </row>
    <row r="688">
      <c r="H688" s="1"/>
    </row>
    <row r="689">
      <c r="H689" s="1"/>
    </row>
    <row r="690">
      <c r="H690" s="1"/>
    </row>
    <row r="691">
      <c r="H691" s="1"/>
    </row>
    <row r="692">
      <c r="H692" s="1"/>
    </row>
    <row r="693">
      <c r="H693" s="1"/>
    </row>
    <row r="694">
      <c r="H694" s="1"/>
    </row>
    <row r="695">
      <c r="H695" s="1"/>
    </row>
    <row r="696">
      <c r="H696" s="1"/>
    </row>
    <row r="697">
      <c r="H697" s="1"/>
    </row>
    <row r="698">
      <c r="H698" s="1"/>
    </row>
    <row r="699">
      <c r="H699" s="1"/>
    </row>
    <row r="700">
      <c r="H700" s="1"/>
    </row>
    <row r="701">
      <c r="H701" s="1"/>
    </row>
    <row r="702">
      <c r="H702" s="1"/>
    </row>
    <row r="703">
      <c r="H703" s="1"/>
    </row>
    <row r="704">
      <c r="H704" s="1"/>
    </row>
    <row r="705">
      <c r="H705" s="1"/>
    </row>
    <row r="706">
      <c r="H706" s="1"/>
    </row>
    <row r="707">
      <c r="H707" s="1"/>
    </row>
    <row r="708">
      <c r="H708" s="1"/>
    </row>
    <row r="709">
      <c r="H709" s="1"/>
    </row>
    <row r="710">
      <c r="H710" s="1"/>
    </row>
    <row r="711">
      <c r="H711" s="1"/>
    </row>
    <row r="712">
      <c r="H712" s="1"/>
    </row>
    <row r="713">
      <c r="H713" s="1"/>
    </row>
    <row r="714">
      <c r="H714" s="1"/>
    </row>
    <row r="715">
      <c r="H715" s="1"/>
    </row>
    <row r="716">
      <c r="H716" s="1"/>
    </row>
    <row r="717">
      <c r="H717" s="1"/>
    </row>
    <row r="718">
      <c r="H718" s="1"/>
    </row>
    <row r="719">
      <c r="H719" s="1"/>
    </row>
    <row r="720">
      <c r="H720" s="1"/>
    </row>
    <row r="721">
      <c r="H721" s="1"/>
    </row>
    <row r="722">
      <c r="H722" s="1"/>
    </row>
    <row r="723">
      <c r="H723" s="1"/>
    </row>
    <row r="724">
      <c r="H724" s="1"/>
    </row>
    <row r="725">
      <c r="H725" s="1"/>
    </row>
    <row r="726">
      <c r="H726" s="1"/>
    </row>
    <row r="727">
      <c r="H727" s="1"/>
    </row>
    <row r="728">
      <c r="H728" s="1"/>
    </row>
    <row r="729">
      <c r="H729" s="1"/>
    </row>
    <row r="730">
      <c r="H730" s="1"/>
    </row>
    <row r="731">
      <c r="H731" s="1"/>
    </row>
    <row r="732">
      <c r="H732" s="1"/>
    </row>
    <row r="733">
      <c r="H733" s="1"/>
    </row>
    <row r="734">
      <c r="H734" s="1"/>
    </row>
    <row r="735">
      <c r="H735" s="1"/>
    </row>
    <row r="736">
      <c r="H736" s="1"/>
    </row>
    <row r="737">
      <c r="H737" s="1"/>
    </row>
    <row r="738">
      <c r="H738" s="1"/>
    </row>
    <row r="739">
      <c r="H739" s="1"/>
    </row>
    <row r="740">
      <c r="H740" s="1"/>
    </row>
    <row r="741">
      <c r="H741" s="1"/>
    </row>
    <row r="742">
      <c r="H742" s="1"/>
    </row>
    <row r="743">
      <c r="H743" s="1"/>
    </row>
    <row r="744">
      <c r="H744" s="1"/>
    </row>
    <row r="745">
      <c r="H745" s="1"/>
    </row>
    <row r="746">
      <c r="H746" s="1"/>
    </row>
    <row r="747">
      <c r="H747" s="1"/>
    </row>
    <row r="748">
      <c r="H748" s="1"/>
    </row>
    <row r="749">
      <c r="H749" s="1"/>
    </row>
    <row r="750">
      <c r="H750" s="1"/>
    </row>
    <row r="751">
      <c r="H751" s="1"/>
    </row>
    <row r="752">
      <c r="H752" s="1"/>
    </row>
    <row r="753">
      <c r="H753" s="1"/>
    </row>
    <row r="754">
      <c r="H754" s="1"/>
    </row>
    <row r="755">
      <c r="H755" s="1"/>
    </row>
    <row r="756">
      <c r="H756" s="1"/>
    </row>
    <row r="757">
      <c r="H757" s="1"/>
    </row>
    <row r="758">
      <c r="H758" s="1"/>
    </row>
    <row r="759">
      <c r="H759" s="1"/>
    </row>
    <row r="760">
      <c r="H760" s="1"/>
    </row>
    <row r="761">
      <c r="H761" s="1"/>
    </row>
    <row r="762">
      <c r="H762" s="1"/>
    </row>
    <row r="763">
      <c r="H763" s="1"/>
    </row>
    <row r="764">
      <c r="H764" s="1"/>
    </row>
    <row r="765">
      <c r="H765" s="1"/>
    </row>
    <row r="766">
      <c r="H766" s="1"/>
    </row>
    <row r="767">
      <c r="H767" s="1"/>
    </row>
    <row r="768">
      <c r="H768" s="1"/>
    </row>
    <row r="769">
      <c r="H769" s="1"/>
    </row>
    <row r="770">
      <c r="H770" s="1"/>
    </row>
    <row r="771">
      <c r="H771" s="1"/>
    </row>
    <row r="772">
      <c r="H772" s="1"/>
    </row>
    <row r="773">
      <c r="H773" s="1"/>
    </row>
    <row r="774">
      <c r="H774" s="1"/>
    </row>
    <row r="775">
      <c r="H775" s="1"/>
    </row>
    <row r="776">
      <c r="H776" s="1"/>
    </row>
    <row r="777">
      <c r="H777" s="1"/>
    </row>
    <row r="778">
      <c r="H778" s="1"/>
    </row>
    <row r="779">
      <c r="H779" s="1"/>
    </row>
    <row r="780">
      <c r="H780" s="1"/>
    </row>
    <row r="781">
      <c r="H781" s="1"/>
    </row>
    <row r="782">
      <c r="H782" s="1"/>
    </row>
    <row r="783">
      <c r="H783" s="1"/>
    </row>
    <row r="784">
      <c r="H784" s="1"/>
    </row>
    <row r="785">
      <c r="H785" s="1"/>
    </row>
    <row r="786">
      <c r="H786" s="1"/>
    </row>
    <row r="787">
      <c r="H787" s="1"/>
    </row>
    <row r="788">
      <c r="H788" s="1"/>
    </row>
    <row r="789">
      <c r="H789" s="1"/>
    </row>
    <row r="790">
      <c r="H790" s="1"/>
    </row>
    <row r="791">
      <c r="H791" s="1"/>
    </row>
    <row r="792">
      <c r="H792" s="1"/>
    </row>
    <row r="793">
      <c r="H793" s="1"/>
    </row>
    <row r="794">
      <c r="H794" s="1"/>
    </row>
    <row r="795">
      <c r="H795" s="1"/>
    </row>
    <row r="796">
      <c r="H796" s="1"/>
    </row>
    <row r="797">
      <c r="H797" s="1"/>
    </row>
    <row r="798">
      <c r="H798" s="1"/>
    </row>
    <row r="799">
      <c r="H799" s="1"/>
    </row>
    <row r="800">
      <c r="H800" s="1"/>
    </row>
    <row r="801">
      <c r="H801" s="1"/>
    </row>
    <row r="802">
      <c r="H802" s="1"/>
    </row>
    <row r="803">
      <c r="H803" s="1"/>
    </row>
    <row r="804">
      <c r="H804" s="1"/>
    </row>
    <row r="805">
      <c r="H805" s="1"/>
    </row>
    <row r="806">
      <c r="H806" s="1"/>
    </row>
    <row r="807">
      <c r="H807" s="1"/>
    </row>
    <row r="808">
      <c r="H808" s="1"/>
    </row>
    <row r="809">
      <c r="H809" s="1"/>
    </row>
    <row r="810">
      <c r="H810" s="1"/>
    </row>
    <row r="811">
      <c r="H811" s="1"/>
    </row>
    <row r="812">
      <c r="H812" s="1"/>
    </row>
    <row r="813">
      <c r="H813" s="1"/>
    </row>
    <row r="814">
      <c r="H814" s="1"/>
    </row>
    <row r="815">
      <c r="H815" s="1"/>
    </row>
    <row r="816">
      <c r="H816" s="1"/>
    </row>
    <row r="817">
      <c r="H817" s="1"/>
    </row>
    <row r="818">
      <c r="H818" s="1"/>
    </row>
    <row r="819">
      <c r="H819" s="1"/>
    </row>
    <row r="820">
      <c r="H820" s="1"/>
    </row>
    <row r="821">
      <c r="H821" s="1"/>
    </row>
    <row r="822">
      <c r="H822" s="1"/>
    </row>
    <row r="823">
      <c r="H823" s="1"/>
    </row>
    <row r="824">
      <c r="H824" s="1"/>
    </row>
    <row r="825">
      <c r="H825" s="1"/>
    </row>
    <row r="826">
      <c r="H826" s="1"/>
    </row>
    <row r="827">
      <c r="H827" s="1"/>
    </row>
    <row r="828">
      <c r="H828" s="1"/>
    </row>
    <row r="829">
      <c r="H829" s="1"/>
    </row>
    <row r="830">
      <c r="H830" s="1"/>
    </row>
    <row r="831">
      <c r="H831" s="1"/>
    </row>
    <row r="832">
      <c r="H832" s="1"/>
    </row>
    <row r="833">
      <c r="H833" s="1"/>
    </row>
    <row r="834">
      <c r="H834" s="1"/>
    </row>
    <row r="835">
      <c r="H835" s="1"/>
    </row>
    <row r="836">
      <c r="H836" s="1"/>
    </row>
    <row r="837">
      <c r="H837" s="1"/>
    </row>
    <row r="838">
      <c r="H838" s="1"/>
    </row>
    <row r="839">
      <c r="H839" s="1"/>
    </row>
    <row r="840">
      <c r="H840" s="1"/>
    </row>
    <row r="841">
      <c r="H841" s="1"/>
    </row>
    <row r="842">
      <c r="H842" s="1"/>
    </row>
    <row r="843">
      <c r="H843" s="1"/>
    </row>
    <row r="844">
      <c r="H844" s="1"/>
    </row>
    <row r="845">
      <c r="H845" s="1"/>
    </row>
    <row r="846">
      <c r="H846" s="1"/>
    </row>
    <row r="847">
      <c r="H847" s="1"/>
    </row>
    <row r="848">
      <c r="H848" s="1"/>
    </row>
    <row r="849">
      <c r="H849" s="1"/>
    </row>
    <row r="850">
      <c r="H850" s="1"/>
    </row>
    <row r="851">
      <c r="H851" s="1"/>
    </row>
    <row r="852">
      <c r="H852" s="1"/>
    </row>
    <row r="853">
      <c r="H853" s="1"/>
    </row>
    <row r="854">
      <c r="H854" s="1"/>
    </row>
    <row r="855">
      <c r="H855" s="1"/>
    </row>
    <row r="856">
      <c r="H856" s="1"/>
    </row>
    <row r="857">
      <c r="H857" s="1"/>
    </row>
    <row r="858">
      <c r="H858" s="1"/>
    </row>
    <row r="859">
      <c r="H859" s="1"/>
    </row>
    <row r="860">
      <c r="H860" s="1"/>
    </row>
    <row r="861">
      <c r="H861" s="1"/>
    </row>
    <row r="862">
      <c r="H862" s="1"/>
    </row>
    <row r="863">
      <c r="H863" s="1"/>
    </row>
    <row r="864">
      <c r="H864" s="1"/>
    </row>
    <row r="865">
      <c r="H865" s="1"/>
    </row>
    <row r="866">
      <c r="H866" s="1"/>
    </row>
    <row r="867">
      <c r="H867" s="1"/>
    </row>
    <row r="868">
      <c r="H868" s="1"/>
    </row>
    <row r="869">
      <c r="H869" s="1"/>
    </row>
    <row r="870">
      <c r="H870" s="1"/>
    </row>
    <row r="871">
      <c r="H871" s="1"/>
    </row>
    <row r="872">
      <c r="H872" s="1"/>
    </row>
    <row r="873">
      <c r="H873" s="1"/>
    </row>
    <row r="874">
      <c r="H874" s="1"/>
    </row>
    <row r="875">
      <c r="H875" s="1"/>
    </row>
    <row r="876">
      <c r="H876" s="1"/>
    </row>
    <row r="877">
      <c r="H877" s="1"/>
    </row>
    <row r="878">
      <c r="H878" s="1"/>
    </row>
    <row r="879">
      <c r="H879" s="1"/>
    </row>
    <row r="880">
      <c r="H880" s="1"/>
    </row>
    <row r="881">
      <c r="H881" s="1"/>
    </row>
    <row r="882">
      <c r="H882" s="1"/>
    </row>
    <row r="883">
      <c r="H883" s="1"/>
    </row>
    <row r="884">
      <c r="H884" s="1"/>
    </row>
    <row r="885">
      <c r="H885" s="1"/>
    </row>
    <row r="886">
      <c r="H886" s="1"/>
    </row>
    <row r="887">
      <c r="H887" s="1"/>
    </row>
    <row r="888">
      <c r="H888" s="1"/>
    </row>
    <row r="889">
      <c r="H889" s="1"/>
    </row>
    <row r="890">
      <c r="H890" s="1"/>
    </row>
    <row r="891">
      <c r="H891" s="1"/>
    </row>
    <row r="892">
      <c r="H892" s="1"/>
    </row>
    <row r="893">
      <c r="H893" s="1"/>
    </row>
    <row r="894">
      <c r="H894" s="1"/>
    </row>
    <row r="895">
      <c r="H895" s="1"/>
    </row>
    <row r="896">
      <c r="H896" s="1"/>
    </row>
    <row r="897">
      <c r="H897" s="1"/>
    </row>
    <row r="898">
      <c r="H898" s="1"/>
    </row>
    <row r="899">
      <c r="H899" s="1"/>
    </row>
    <row r="900">
      <c r="H900" s="1"/>
    </row>
    <row r="901">
      <c r="H901" s="1"/>
    </row>
    <row r="902">
      <c r="H902" s="1"/>
    </row>
    <row r="903">
      <c r="H903" s="1"/>
    </row>
    <row r="904">
      <c r="H904" s="1"/>
    </row>
    <row r="905">
      <c r="H905" s="1"/>
    </row>
    <row r="906">
      <c r="H906" s="1"/>
    </row>
    <row r="907">
      <c r="H907" s="1"/>
    </row>
    <row r="908">
      <c r="H908" s="1"/>
    </row>
    <row r="909">
      <c r="H909" s="1"/>
    </row>
    <row r="910">
      <c r="H910" s="1"/>
    </row>
    <row r="911">
      <c r="H911" s="1"/>
    </row>
    <row r="912">
      <c r="H912" s="1"/>
    </row>
    <row r="913">
      <c r="H913" s="1"/>
    </row>
    <row r="914">
      <c r="H914" s="1"/>
    </row>
    <row r="915">
      <c r="H915" s="1"/>
    </row>
    <row r="916">
      <c r="H916" s="1"/>
    </row>
    <row r="917">
      <c r="H917" s="1"/>
    </row>
    <row r="918">
      <c r="H918" s="1"/>
    </row>
    <row r="919">
      <c r="H919" s="1"/>
    </row>
    <row r="920">
      <c r="H920" s="1"/>
    </row>
    <row r="921">
      <c r="H921" s="1"/>
    </row>
    <row r="922">
      <c r="H922" s="1"/>
    </row>
    <row r="923">
      <c r="H923" s="1"/>
    </row>
    <row r="924">
      <c r="H924" s="1"/>
    </row>
    <row r="925">
      <c r="H925" s="1"/>
    </row>
    <row r="926">
      <c r="H926" s="1"/>
    </row>
    <row r="927">
      <c r="H927" s="1"/>
    </row>
    <row r="928">
      <c r="H928" s="1"/>
    </row>
    <row r="929">
      <c r="H929" s="1"/>
    </row>
    <row r="930">
      <c r="H930" s="1"/>
    </row>
    <row r="931">
      <c r="H931" s="1"/>
    </row>
    <row r="932">
      <c r="H932" s="1"/>
    </row>
    <row r="933">
      <c r="H933" s="1"/>
    </row>
    <row r="934">
      <c r="H934" s="1"/>
    </row>
    <row r="935">
      <c r="H935" s="1"/>
    </row>
    <row r="936">
      <c r="H936" s="1"/>
    </row>
    <row r="937">
      <c r="H937" s="1"/>
    </row>
    <row r="938">
      <c r="H938" s="1"/>
    </row>
    <row r="939">
      <c r="H939" s="1"/>
    </row>
    <row r="940">
      <c r="H940" s="1"/>
    </row>
    <row r="941">
      <c r="H941" s="1"/>
    </row>
    <row r="942">
      <c r="H942" s="1"/>
    </row>
    <row r="943">
      <c r="H943" s="1"/>
    </row>
    <row r="944">
      <c r="H944" s="1"/>
    </row>
    <row r="945">
      <c r="H945" s="1"/>
    </row>
    <row r="946">
      <c r="H946" s="1"/>
    </row>
    <row r="947">
      <c r="H947" s="1"/>
    </row>
    <row r="948">
      <c r="H948" s="1"/>
    </row>
    <row r="949">
      <c r="H949" s="1"/>
    </row>
    <row r="950">
      <c r="H950" s="1"/>
    </row>
    <row r="951">
      <c r="H951" s="1"/>
    </row>
    <row r="952">
      <c r="H952" s="1"/>
    </row>
    <row r="953">
      <c r="H953" s="1"/>
    </row>
    <row r="954">
      <c r="H954" s="1"/>
    </row>
    <row r="955">
      <c r="H955" s="1"/>
    </row>
    <row r="956">
      <c r="H956" s="1"/>
    </row>
    <row r="957">
      <c r="H957" s="1"/>
    </row>
    <row r="958">
      <c r="H958" s="1"/>
    </row>
    <row r="959">
      <c r="H959" s="1"/>
    </row>
    <row r="960">
      <c r="H960" s="1"/>
    </row>
    <row r="961">
      <c r="H961" s="1"/>
    </row>
    <row r="962">
      <c r="H962" s="1"/>
    </row>
    <row r="963">
      <c r="H963" s="1"/>
    </row>
    <row r="964">
      <c r="H964" s="1"/>
    </row>
    <row r="965">
      <c r="H965" s="1"/>
    </row>
    <row r="966">
      <c r="H966" s="1"/>
    </row>
    <row r="967">
      <c r="H967" s="1"/>
    </row>
    <row r="968">
      <c r="H968" s="1"/>
    </row>
    <row r="969">
      <c r="H969" s="1"/>
    </row>
    <row r="970">
      <c r="H970" s="1"/>
    </row>
    <row r="971">
      <c r="H971" s="1"/>
    </row>
    <row r="972">
      <c r="H972" s="1"/>
    </row>
    <row r="973">
      <c r="H973" s="1"/>
    </row>
    <row r="974">
      <c r="H974" s="1"/>
    </row>
    <row r="975">
      <c r="H975" s="1"/>
    </row>
    <row r="976">
      <c r="H976" s="1"/>
    </row>
    <row r="977">
      <c r="H977" s="1"/>
    </row>
    <row r="978">
      <c r="H978" s="1"/>
    </row>
    <row r="979">
      <c r="H979" s="1"/>
    </row>
    <row r="980">
      <c r="H980" s="1"/>
    </row>
    <row r="981">
      <c r="H981" s="1"/>
    </row>
    <row r="982">
      <c r="H982" s="1"/>
    </row>
    <row r="983">
      <c r="H983" s="1"/>
    </row>
    <row r="984">
      <c r="H984" s="1"/>
    </row>
    <row r="985">
      <c r="H985" s="1"/>
    </row>
    <row r="986">
      <c r="H986" s="1"/>
    </row>
    <row r="987">
      <c r="H987" s="1"/>
    </row>
    <row r="988">
      <c r="H988" s="1"/>
    </row>
    <row r="989">
      <c r="H989" s="1"/>
    </row>
    <row r="990">
      <c r="H990" s="1"/>
    </row>
    <row r="991">
      <c r="H991" s="1"/>
    </row>
    <row r="992">
      <c r="H992" s="1"/>
    </row>
    <row r="993">
      <c r="H993" s="1"/>
    </row>
    <row r="994">
      <c r="H994" s="1"/>
    </row>
    <row r="995">
      <c r="H995" s="1"/>
    </row>
  </sheetData>
  <mergeCells count="7">
    <mergeCell ref="A4:A5"/>
    <mergeCell ref="B4:B5"/>
    <mergeCell ref="B6:B9"/>
    <mergeCell ref="C11:G11"/>
    <mergeCell ref="D21:D22"/>
    <mergeCell ref="C27:F27"/>
    <mergeCell ref="C34:C3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7.38"/>
    <col customWidth="1" min="2" max="2" width="22.5"/>
    <col customWidth="1" min="3" max="3" width="22.75"/>
    <col customWidth="1" min="4" max="4" width="68.13"/>
    <col customWidth="1" min="5" max="5" width="27.5"/>
    <col customWidth="1" min="6" max="6" width="20.75"/>
    <col hidden="1" min="8" max="25" width="12.63"/>
  </cols>
  <sheetData>
    <row r="1" ht="15.75" customHeight="1">
      <c r="A1" s="6"/>
      <c r="B1" s="6" t="s">
        <v>163</v>
      </c>
      <c r="H1" s="57"/>
      <c r="I1" s="57"/>
      <c r="J1" s="57"/>
      <c r="K1" s="57"/>
      <c r="L1" s="57"/>
      <c r="M1" s="57"/>
      <c r="N1" s="57"/>
      <c r="O1" s="57"/>
      <c r="P1" s="57"/>
      <c r="Q1" s="57"/>
      <c r="R1" s="57"/>
      <c r="S1" s="57"/>
      <c r="T1" s="57"/>
      <c r="U1" s="57"/>
      <c r="V1" s="57"/>
      <c r="W1" s="57"/>
      <c r="X1" s="57"/>
      <c r="Y1" s="57"/>
    </row>
    <row r="2" ht="15.75" customHeight="1">
      <c r="A2" s="6"/>
      <c r="H2" s="57"/>
      <c r="I2" s="57"/>
      <c r="J2" s="57"/>
      <c r="K2" s="57"/>
      <c r="L2" s="57"/>
      <c r="M2" s="57"/>
      <c r="N2" s="57"/>
      <c r="O2" s="57"/>
      <c r="P2" s="57"/>
      <c r="Q2" s="57"/>
      <c r="R2" s="57"/>
      <c r="S2" s="57"/>
      <c r="T2" s="57"/>
      <c r="U2" s="57"/>
      <c r="V2" s="57"/>
      <c r="W2" s="57"/>
      <c r="X2" s="57"/>
      <c r="Y2" s="57"/>
    </row>
    <row r="3" ht="15.75" customHeight="1">
      <c r="A3" s="6"/>
      <c r="H3" s="57"/>
      <c r="I3" s="57"/>
      <c r="J3" s="57"/>
      <c r="K3" s="57"/>
      <c r="L3" s="57"/>
      <c r="M3" s="57"/>
      <c r="N3" s="57"/>
      <c r="O3" s="57"/>
      <c r="P3" s="57"/>
      <c r="Q3" s="57"/>
      <c r="R3" s="57"/>
      <c r="S3" s="57"/>
      <c r="T3" s="57"/>
      <c r="U3" s="57"/>
      <c r="V3" s="57"/>
      <c r="W3" s="57"/>
      <c r="X3" s="57"/>
      <c r="Y3" s="57"/>
    </row>
    <row r="4" ht="15.75" customHeight="1">
      <c r="A4" s="6"/>
      <c r="H4" s="57"/>
      <c r="I4" s="57"/>
      <c r="J4" s="57"/>
      <c r="K4" s="57"/>
      <c r="L4" s="57"/>
      <c r="M4" s="57"/>
      <c r="N4" s="57"/>
      <c r="O4" s="57"/>
      <c r="P4" s="57"/>
      <c r="Q4" s="57"/>
      <c r="R4" s="57"/>
      <c r="S4" s="57"/>
      <c r="T4" s="57"/>
      <c r="U4" s="57"/>
      <c r="V4" s="57"/>
      <c r="W4" s="57"/>
      <c r="X4" s="57"/>
      <c r="Y4" s="57"/>
    </row>
    <row r="5" ht="15.75" customHeight="1">
      <c r="A5" s="116"/>
      <c r="B5" s="117" t="s">
        <v>164</v>
      </c>
      <c r="C5" s="117" t="s">
        <v>165</v>
      </c>
      <c r="D5" s="117" t="s">
        <v>166</v>
      </c>
      <c r="E5" s="117" t="s">
        <v>167</v>
      </c>
      <c r="F5" s="117" t="s">
        <v>168</v>
      </c>
      <c r="G5" s="118"/>
      <c r="H5" s="57"/>
      <c r="I5" s="57"/>
      <c r="J5" s="57"/>
      <c r="K5" s="57"/>
      <c r="L5" s="57"/>
      <c r="M5" s="57"/>
      <c r="N5" s="57"/>
      <c r="O5" s="57"/>
      <c r="P5" s="57"/>
      <c r="Q5" s="57"/>
      <c r="R5" s="57"/>
      <c r="S5" s="57"/>
      <c r="T5" s="57"/>
      <c r="U5" s="57"/>
      <c r="V5" s="57"/>
      <c r="W5" s="57"/>
      <c r="X5" s="57"/>
      <c r="Y5" s="57"/>
    </row>
    <row r="6" ht="15.75" customHeight="1">
      <c r="A6" s="33"/>
      <c r="B6" s="119" t="s">
        <v>169</v>
      </c>
      <c r="C6" s="119" t="s">
        <v>170</v>
      </c>
      <c r="D6" s="119" t="s">
        <v>171</v>
      </c>
      <c r="E6" s="120"/>
      <c r="F6" s="120" t="s">
        <v>172</v>
      </c>
      <c r="G6" s="33"/>
    </row>
    <row r="7" ht="15.75" customHeight="1">
      <c r="A7" s="33"/>
      <c r="B7" s="119" t="s">
        <v>169</v>
      </c>
      <c r="C7" s="119" t="s">
        <v>170</v>
      </c>
      <c r="D7" s="119" t="s">
        <v>173</v>
      </c>
      <c r="E7" s="120"/>
      <c r="F7" s="120" t="s">
        <v>172</v>
      </c>
      <c r="G7" s="33"/>
    </row>
    <row r="8" ht="15.75" customHeight="1">
      <c r="A8" s="33"/>
      <c r="B8" s="119" t="s">
        <v>169</v>
      </c>
      <c r="C8" s="119" t="s">
        <v>170</v>
      </c>
      <c r="D8" s="119" t="s">
        <v>174</v>
      </c>
      <c r="E8" s="120"/>
      <c r="F8" s="120" t="s">
        <v>172</v>
      </c>
      <c r="G8" s="33"/>
    </row>
    <row r="9" ht="15.75" customHeight="1">
      <c r="A9" s="33"/>
      <c r="B9" s="119" t="s">
        <v>175</v>
      </c>
      <c r="C9" s="119" t="s">
        <v>175</v>
      </c>
      <c r="D9" s="119" t="s">
        <v>176</v>
      </c>
      <c r="E9" s="120"/>
      <c r="F9" s="120" t="s">
        <v>172</v>
      </c>
      <c r="G9" s="33"/>
    </row>
    <row r="10" ht="15.75" customHeight="1">
      <c r="A10" s="33"/>
      <c r="B10" s="119" t="s">
        <v>175</v>
      </c>
      <c r="C10" s="119" t="s">
        <v>175</v>
      </c>
      <c r="D10" s="119" t="s">
        <v>177</v>
      </c>
      <c r="E10" s="120"/>
      <c r="F10" s="120"/>
      <c r="G10" s="6"/>
      <c r="H10" s="6"/>
      <c r="I10" s="6"/>
      <c r="J10" s="6"/>
      <c r="K10" s="6"/>
      <c r="L10" s="6"/>
      <c r="M10" s="6"/>
      <c r="N10" s="6"/>
    </row>
    <row r="11" ht="15.75" customHeight="1">
      <c r="A11" s="33"/>
      <c r="B11" s="119" t="s">
        <v>178</v>
      </c>
      <c r="C11" s="119"/>
      <c r="D11" s="119" t="s">
        <v>179</v>
      </c>
      <c r="E11" s="120"/>
      <c r="F11" s="120" t="s">
        <v>172</v>
      </c>
      <c r="G11" s="6"/>
    </row>
    <row r="12" ht="15.75" customHeight="1">
      <c r="A12" s="33"/>
      <c r="B12" s="119" t="s">
        <v>180</v>
      </c>
      <c r="C12" s="119" t="s">
        <v>181</v>
      </c>
      <c r="D12" s="119" t="s">
        <v>182</v>
      </c>
      <c r="E12" s="120"/>
      <c r="F12" s="120" t="s">
        <v>172</v>
      </c>
    </row>
    <row r="13" ht="15.75" customHeight="1">
      <c r="A13" s="33"/>
      <c r="B13" s="119" t="s">
        <v>180</v>
      </c>
      <c r="C13" s="119" t="s">
        <v>181</v>
      </c>
      <c r="D13" s="119" t="s">
        <v>183</v>
      </c>
      <c r="E13" s="120"/>
      <c r="F13" s="120" t="s">
        <v>172</v>
      </c>
    </row>
    <row r="14" ht="15.75" customHeight="1">
      <c r="A14" s="33"/>
      <c r="B14" s="119" t="s">
        <v>180</v>
      </c>
      <c r="C14" s="119" t="s">
        <v>181</v>
      </c>
      <c r="D14" s="119" t="s">
        <v>184</v>
      </c>
      <c r="E14" s="120"/>
      <c r="F14" s="120"/>
    </row>
    <row r="15" ht="15.75" customHeight="1">
      <c r="A15" s="33"/>
      <c r="B15" s="120" t="s">
        <v>185</v>
      </c>
      <c r="C15" s="120" t="s">
        <v>186</v>
      </c>
      <c r="D15" s="120" t="s">
        <v>187</v>
      </c>
      <c r="E15" s="120"/>
      <c r="F15" s="120"/>
    </row>
    <row r="16" ht="15.75" customHeight="1">
      <c r="A16" s="33"/>
      <c r="B16" s="120" t="s">
        <v>185</v>
      </c>
      <c r="C16" s="120" t="s">
        <v>185</v>
      </c>
      <c r="D16" s="120" t="s">
        <v>188</v>
      </c>
      <c r="E16" s="120"/>
      <c r="F16" s="120" t="s">
        <v>172</v>
      </c>
      <c r="G16" s="33"/>
    </row>
    <row r="17" ht="15.75" customHeight="1">
      <c r="A17" s="33"/>
      <c r="B17" s="120" t="s">
        <v>185</v>
      </c>
      <c r="C17" s="120"/>
      <c r="D17" s="120" t="s">
        <v>189</v>
      </c>
      <c r="E17" s="120"/>
      <c r="F17" s="120"/>
      <c r="G17" s="33"/>
    </row>
    <row r="18" ht="15.75" customHeight="1">
      <c r="A18" s="33"/>
      <c r="B18" s="120" t="s">
        <v>190</v>
      </c>
      <c r="C18" s="120" t="s">
        <v>191</v>
      </c>
      <c r="D18" s="111" t="s">
        <v>192</v>
      </c>
      <c r="E18" s="120"/>
      <c r="F18" s="120" t="s">
        <v>172</v>
      </c>
      <c r="G18" s="33"/>
    </row>
    <row r="19" ht="15.75" customHeight="1">
      <c r="A19" s="33"/>
      <c r="B19" s="119" t="s">
        <v>190</v>
      </c>
      <c r="C19" s="119" t="s">
        <v>191</v>
      </c>
      <c r="D19" s="119" t="s">
        <v>193</v>
      </c>
      <c r="E19" s="120"/>
      <c r="F19" s="120" t="s">
        <v>172</v>
      </c>
      <c r="G19" s="33"/>
    </row>
    <row r="20" ht="15.75" customHeight="1">
      <c r="A20" s="33"/>
      <c r="B20" s="119" t="s">
        <v>190</v>
      </c>
      <c r="C20" s="119" t="s">
        <v>191</v>
      </c>
      <c r="D20" s="119" t="s">
        <v>194</v>
      </c>
      <c r="E20" s="120"/>
      <c r="F20" s="120" t="s">
        <v>172</v>
      </c>
      <c r="G20" s="33"/>
    </row>
    <row r="21" ht="15.75" customHeight="1">
      <c r="A21" s="33"/>
      <c r="B21" s="120" t="s">
        <v>190</v>
      </c>
      <c r="C21" s="120" t="s">
        <v>195</v>
      </c>
      <c r="D21" s="120" t="s">
        <v>196</v>
      </c>
      <c r="E21" s="120"/>
      <c r="F21" s="120" t="s">
        <v>197</v>
      </c>
      <c r="G21" s="33"/>
    </row>
    <row r="22" ht="15.75" customHeight="1">
      <c r="A22" s="33"/>
      <c r="B22" s="120" t="s">
        <v>190</v>
      </c>
      <c r="C22" s="120" t="s">
        <v>198</v>
      </c>
      <c r="D22" s="120" t="s">
        <v>199</v>
      </c>
      <c r="E22" s="120"/>
      <c r="F22" s="120" t="s">
        <v>197</v>
      </c>
      <c r="G22" s="33"/>
    </row>
    <row r="23" ht="15.75" customHeight="1">
      <c r="A23" s="33"/>
      <c r="B23" s="120" t="s">
        <v>200</v>
      </c>
      <c r="C23" s="120"/>
      <c r="D23" s="120"/>
      <c r="E23" s="120"/>
      <c r="F23" s="120"/>
      <c r="G23" s="33"/>
    </row>
    <row r="24" ht="15.75" customHeight="1">
      <c r="A24" s="33"/>
      <c r="B24" s="119" t="s">
        <v>201</v>
      </c>
      <c r="C24" s="119" t="s">
        <v>202</v>
      </c>
      <c r="D24" s="119" t="s">
        <v>203</v>
      </c>
      <c r="E24" s="120"/>
      <c r="F24" s="120"/>
      <c r="G24" s="33"/>
    </row>
    <row r="25" ht="15.75" customHeight="1">
      <c r="A25" s="33"/>
      <c r="B25" s="120" t="s">
        <v>204</v>
      </c>
      <c r="C25" s="120"/>
      <c r="D25" s="120"/>
      <c r="E25" s="120"/>
      <c r="F25" s="120"/>
      <c r="G25" s="33"/>
    </row>
    <row r="26" ht="15.75" customHeight="1">
      <c r="A26" s="33"/>
      <c r="B26" s="119" t="s">
        <v>205</v>
      </c>
      <c r="C26" s="119"/>
      <c r="D26" s="119" t="s">
        <v>206</v>
      </c>
      <c r="E26" s="120"/>
      <c r="F26" s="120" t="s">
        <v>172</v>
      </c>
      <c r="G26" s="33"/>
    </row>
    <row r="27" ht="15.75" customHeight="1">
      <c r="A27" s="103"/>
      <c r="B27" s="121" t="s">
        <v>207</v>
      </c>
      <c r="C27" s="121"/>
      <c r="D27" s="121" t="s">
        <v>208</v>
      </c>
      <c r="E27" s="121"/>
      <c r="F27" s="121"/>
      <c r="G27" s="103"/>
      <c r="H27" s="103"/>
      <c r="I27" s="103"/>
      <c r="J27" s="103"/>
      <c r="K27" s="103"/>
      <c r="L27" s="103"/>
      <c r="M27" s="103"/>
      <c r="N27" s="103"/>
      <c r="O27" s="103"/>
      <c r="P27" s="103"/>
      <c r="Q27" s="103"/>
      <c r="R27" s="103"/>
      <c r="S27" s="103"/>
      <c r="T27" s="103"/>
      <c r="U27" s="103"/>
      <c r="V27" s="103"/>
      <c r="W27" s="103"/>
      <c r="X27" s="103"/>
      <c r="Y27" s="103"/>
      <c r="Z27" s="103"/>
    </row>
    <row r="28" ht="15.75" customHeight="1">
      <c r="A28" s="33"/>
      <c r="B28" s="119" t="s">
        <v>209</v>
      </c>
      <c r="C28" s="119"/>
      <c r="D28" s="119" t="s">
        <v>210</v>
      </c>
      <c r="E28" s="120"/>
      <c r="F28" s="120" t="s">
        <v>172</v>
      </c>
      <c r="G28" s="33"/>
    </row>
    <row r="29" ht="15.75" customHeight="1">
      <c r="A29" s="33"/>
      <c r="B29" s="120" t="s">
        <v>211</v>
      </c>
      <c r="C29" s="120" t="s">
        <v>211</v>
      </c>
      <c r="D29" s="120" t="s">
        <v>212</v>
      </c>
      <c r="E29" s="120"/>
      <c r="F29" s="120" t="s">
        <v>172</v>
      </c>
      <c r="G29" s="33"/>
    </row>
    <row r="30" ht="15.75" customHeight="1">
      <c r="A30" s="33"/>
      <c r="B30" s="120" t="s">
        <v>185</v>
      </c>
      <c r="C30" s="120" t="s">
        <v>185</v>
      </c>
      <c r="D30" s="120" t="s">
        <v>188</v>
      </c>
      <c r="E30" s="120"/>
      <c r="F30" s="120" t="s">
        <v>172</v>
      </c>
      <c r="G30" s="33"/>
    </row>
    <row r="31" ht="15.75" customHeight="1">
      <c r="A31" s="33"/>
      <c r="B31" s="120" t="s">
        <v>213</v>
      </c>
      <c r="C31" s="120" t="s">
        <v>213</v>
      </c>
      <c r="D31" s="120" t="s">
        <v>214</v>
      </c>
      <c r="E31" s="120"/>
      <c r="F31" s="120"/>
      <c r="G31" s="33"/>
    </row>
    <row r="32" ht="15.75" customHeight="1">
      <c r="A32" s="33"/>
      <c r="B32" s="120" t="s">
        <v>213</v>
      </c>
      <c r="C32" s="120" t="s">
        <v>213</v>
      </c>
      <c r="D32" s="120" t="s">
        <v>215</v>
      </c>
      <c r="E32" s="120"/>
      <c r="F32" s="120"/>
      <c r="G32" s="33"/>
    </row>
    <row r="33" ht="15.75" customHeight="1">
      <c r="A33" s="33"/>
      <c r="B33" s="120" t="s">
        <v>216</v>
      </c>
      <c r="C33" s="120" t="s">
        <v>216</v>
      </c>
      <c r="D33" s="120" t="s">
        <v>217</v>
      </c>
      <c r="E33" s="120"/>
      <c r="F33" s="120"/>
      <c r="G33" s="33"/>
    </row>
    <row r="34" ht="15.75" customHeight="1">
      <c r="A34" s="33"/>
      <c r="B34" s="120" t="s">
        <v>216</v>
      </c>
      <c r="C34" s="120" t="s">
        <v>216</v>
      </c>
      <c r="D34" s="120" t="s">
        <v>218</v>
      </c>
      <c r="E34" s="120"/>
      <c r="F34" s="120"/>
      <c r="G34" s="33"/>
    </row>
    <row r="35" ht="15.75" customHeight="1">
      <c r="A35" s="33"/>
      <c r="B35" s="120" t="s">
        <v>135</v>
      </c>
      <c r="C35" s="120"/>
      <c r="D35" s="120" t="s">
        <v>135</v>
      </c>
      <c r="E35" s="120"/>
      <c r="F35" s="120"/>
      <c r="G35" s="33"/>
    </row>
    <row r="36" ht="15.75" customHeight="1">
      <c r="A36" s="33"/>
      <c r="B36" s="120" t="s">
        <v>219</v>
      </c>
      <c r="C36" s="120" t="s">
        <v>220</v>
      </c>
      <c r="D36" s="120" t="s">
        <v>221</v>
      </c>
      <c r="E36" s="120"/>
      <c r="F36" s="120"/>
      <c r="G36" s="33"/>
    </row>
    <row r="37" ht="15.75" customHeight="1">
      <c r="A37" s="33"/>
      <c r="B37" s="120"/>
      <c r="C37" s="120"/>
      <c r="D37" s="120"/>
      <c r="E37" s="120"/>
      <c r="F37" s="120"/>
      <c r="G37" s="33"/>
    </row>
    <row r="38" ht="15.75" customHeight="1">
      <c r="A38" s="33"/>
      <c r="B38" s="120"/>
      <c r="G38" s="33"/>
    </row>
    <row r="39" ht="15.75" customHeight="1">
      <c r="A39" s="33"/>
      <c r="B39" s="120"/>
      <c r="G39" s="33"/>
    </row>
    <row r="40" ht="15.75" customHeight="1">
      <c r="A40" s="33"/>
      <c r="B40" s="120"/>
      <c r="G40" s="33"/>
    </row>
    <row r="41" ht="15.75" customHeight="1">
      <c r="A41" s="33"/>
      <c r="B41" s="120"/>
      <c r="G41" s="33"/>
    </row>
    <row r="42" ht="15.75" customHeight="1">
      <c r="A42" s="33"/>
      <c r="G42" s="33"/>
    </row>
    <row r="43" ht="15.75" customHeight="1">
      <c r="A43" s="33"/>
      <c r="G43" s="33"/>
    </row>
    <row r="44" ht="15.75" customHeight="1">
      <c r="A44" s="33"/>
      <c r="G44" s="33"/>
    </row>
    <row r="45" ht="15.75" customHeight="1">
      <c r="A45" s="33"/>
      <c r="G45" s="33"/>
    </row>
    <row r="46" ht="15.75" customHeight="1">
      <c r="A46" s="33"/>
      <c r="G46" s="33"/>
    </row>
    <row r="47" ht="15.75" customHeight="1">
      <c r="A47" s="33"/>
      <c r="G47" s="33"/>
    </row>
    <row r="48" ht="15.75" customHeight="1">
      <c r="A48" s="33"/>
      <c r="G48" s="33"/>
    </row>
    <row r="49" ht="15.75" customHeight="1">
      <c r="A49" s="33"/>
      <c r="G49" s="33"/>
    </row>
    <row r="50" ht="15.75" customHeight="1">
      <c r="A50" s="33"/>
      <c r="G50" s="33"/>
    </row>
    <row r="51" ht="15.75" customHeight="1">
      <c r="A51" s="33"/>
      <c r="G51" s="33"/>
    </row>
    <row r="52" ht="15.75" customHeight="1">
      <c r="A52" s="33"/>
      <c r="G52" s="33"/>
    </row>
    <row r="53" ht="15.75" customHeight="1">
      <c r="A53" s="33"/>
      <c r="G53" s="33"/>
    </row>
    <row r="54" ht="15.75" customHeight="1">
      <c r="A54" s="33"/>
      <c r="G54" s="33"/>
    </row>
    <row r="55" ht="15.75" customHeight="1">
      <c r="A55" s="33"/>
      <c r="G55" s="33"/>
    </row>
    <row r="56" ht="15.75" customHeight="1">
      <c r="A56" s="33"/>
      <c r="G56" s="33"/>
    </row>
    <row r="57" ht="15.75" customHeight="1">
      <c r="A57" s="33"/>
      <c r="G57" s="33"/>
    </row>
    <row r="58" ht="15.75" customHeight="1">
      <c r="A58" s="33"/>
      <c r="G58" s="33"/>
    </row>
    <row r="59" ht="15.75" customHeight="1">
      <c r="A59" s="33"/>
      <c r="G59" s="33"/>
    </row>
    <row r="60" ht="15.75" customHeight="1">
      <c r="A60" s="33"/>
      <c r="G60" s="33"/>
    </row>
    <row r="61" ht="15.75" customHeight="1">
      <c r="A61" s="33"/>
      <c r="G61" s="33"/>
    </row>
    <row r="62" ht="15.75" customHeight="1">
      <c r="A62" s="33"/>
      <c r="G62" s="33"/>
    </row>
    <row r="63" ht="15.75" customHeight="1">
      <c r="A63" s="33"/>
      <c r="G63" s="33"/>
    </row>
    <row r="64" ht="15.75" customHeight="1">
      <c r="A64" s="33"/>
      <c r="G64" s="33"/>
    </row>
    <row r="65" ht="15.75" customHeight="1">
      <c r="A65" s="33"/>
      <c r="G65" s="33"/>
    </row>
    <row r="66" ht="15.75" customHeight="1">
      <c r="A66" s="33"/>
      <c r="G66" s="33"/>
    </row>
    <row r="67" ht="15.75" customHeight="1">
      <c r="A67" s="33"/>
      <c r="G67" s="33"/>
    </row>
    <row r="68" ht="15.75" customHeight="1">
      <c r="A68" s="33"/>
      <c r="G68" s="33"/>
    </row>
    <row r="69" ht="15.75" customHeight="1">
      <c r="A69" s="33"/>
      <c r="G69" s="33"/>
    </row>
    <row r="70" ht="15.75" customHeight="1">
      <c r="A70" s="33"/>
      <c r="G70" s="33"/>
    </row>
    <row r="71" ht="15.75" customHeight="1">
      <c r="A71" s="33"/>
      <c r="G71" s="33"/>
    </row>
    <row r="72" ht="15.75" customHeight="1">
      <c r="A72" s="33"/>
      <c r="G72" s="33"/>
    </row>
    <row r="73" ht="15.75" customHeight="1">
      <c r="A73" s="33"/>
      <c r="G73" s="33"/>
    </row>
    <row r="74" ht="15.75" customHeight="1">
      <c r="A74" s="33"/>
      <c r="G74" s="33"/>
    </row>
    <row r="75" ht="15.75" customHeight="1">
      <c r="A75" s="33"/>
      <c r="G75" s="33"/>
    </row>
    <row r="76" ht="15.75" customHeight="1">
      <c r="A76" s="33"/>
      <c r="G76" s="33"/>
    </row>
    <row r="77" ht="15.75" customHeight="1">
      <c r="A77" s="33"/>
      <c r="G77" s="33"/>
    </row>
    <row r="78" ht="15.75" customHeight="1">
      <c r="A78" s="33"/>
      <c r="G78" s="33"/>
    </row>
    <row r="79" ht="15.75" customHeight="1">
      <c r="A79" s="33"/>
      <c r="G79" s="33"/>
    </row>
    <row r="80" ht="15.75" customHeight="1">
      <c r="A80" s="33"/>
      <c r="G80" s="33"/>
    </row>
    <row r="81" ht="15.75" customHeight="1">
      <c r="A81" s="33"/>
      <c r="G81" s="33"/>
    </row>
    <row r="82" ht="15.75" customHeight="1">
      <c r="A82" s="33"/>
      <c r="G82" s="33"/>
    </row>
    <row r="83" ht="15.75" customHeight="1">
      <c r="A83" s="33"/>
      <c r="G83" s="33"/>
    </row>
    <row r="84" ht="15.75" customHeight="1">
      <c r="A84" s="33"/>
      <c r="G84" s="33"/>
    </row>
    <row r="85" ht="15.75" customHeight="1">
      <c r="A85" s="33"/>
      <c r="G85" s="33"/>
    </row>
    <row r="86" ht="15.75" customHeight="1">
      <c r="A86" s="33"/>
      <c r="G86" s="33"/>
    </row>
    <row r="87" ht="15.75" customHeight="1">
      <c r="A87" s="33"/>
      <c r="G87" s="33"/>
    </row>
    <row r="88" ht="15.75" customHeight="1">
      <c r="A88" s="33"/>
      <c r="G88" s="33"/>
    </row>
    <row r="89" ht="15.75" customHeight="1">
      <c r="A89" s="33"/>
      <c r="G89" s="33"/>
    </row>
    <row r="90" ht="15.75" customHeight="1">
      <c r="A90" s="33"/>
      <c r="G90" s="33"/>
    </row>
    <row r="91" ht="15.75" customHeight="1">
      <c r="A91" s="33"/>
      <c r="G91" s="33"/>
    </row>
    <row r="92" ht="15.75" customHeight="1">
      <c r="A92" s="33"/>
      <c r="G92" s="33"/>
    </row>
    <row r="93" ht="15.75" customHeight="1">
      <c r="A93" s="33"/>
      <c r="G93" s="33"/>
    </row>
    <row r="94" ht="15.75" customHeight="1">
      <c r="A94" s="33"/>
      <c r="G94" s="33"/>
    </row>
    <row r="95" ht="15.75" customHeight="1">
      <c r="A95" s="33"/>
      <c r="G95" s="33"/>
    </row>
    <row r="96" ht="15.75" customHeight="1">
      <c r="A96" s="33"/>
      <c r="G96" s="33"/>
    </row>
    <row r="97" ht="15.75" customHeight="1">
      <c r="A97" s="33"/>
      <c r="G97" s="33"/>
    </row>
    <row r="98" ht="15.75" customHeight="1">
      <c r="A98" s="33"/>
      <c r="G98" s="33"/>
    </row>
    <row r="99" ht="15.75" customHeight="1">
      <c r="A99" s="33"/>
      <c r="G99" s="33"/>
    </row>
    <row r="100" ht="15.75" customHeight="1">
      <c r="A100" s="33"/>
      <c r="G100" s="33"/>
    </row>
    <row r="101" ht="15.75" customHeight="1">
      <c r="A101" s="33"/>
      <c r="G101" s="33"/>
    </row>
    <row r="102" ht="15.75" customHeight="1">
      <c r="A102" s="33"/>
      <c r="G102" s="33"/>
    </row>
    <row r="103" ht="15.75" customHeight="1">
      <c r="A103" s="33"/>
      <c r="G103" s="33"/>
    </row>
    <row r="104" ht="15.75" customHeight="1">
      <c r="A104" s="33"/>
      <c r="G104" s="33"/>
    </row>
    <row r="105" ht="15.75" customHeight="1">
      <c r="A105" s="33"/>
      <c r="G105" s="33"/>
    </row>
    <row r="106" ht="15.75" customHeight="1">
      <c r="A106" s="33"/>
      <c r="G106" s="33"/>
    </row>
    <row r="107" ht="15.75" customHeight="1">
      <c r="A107" s="33"/>
      <c r="G107" s="33"/>
    </row>
    <row r="108" ht="15.75" customHeight="1">
      <c r="A108" s="33"/>
      <c r="G108" s="33"/>
    </row>
    <row r="109" ht="15.75" customHeight="1">
      <c r="A109" s="33"/>
      <c r="G109" s="33"/>
    </row>
    <row r="110" ht="15.75" customHeight="1">
      <c r="A110" s="33"/>
      <c r="G110" s="33"/>
    </row>
    <row r="111" ht="15.75" customHeight="1">
      <c r="A111" s="33"/>
      <c r="G111" s="33"/>
    </row>
    <row r="112" ht="15.75" customHeight="1">
      <c r="A112" s="33"/>
      <c r="G112" s="33"/>
    </row>
    <row r="113" ht="15.75" customHeight="1">
      <c r="A113" s="33"/>
      <c r="G113" s="33"/>
    </row>
    <row r="114" ht="15.75" customHeight="1">
      <c r="A114" s="33"/>
      <c r="G114" s="33"/>
    </row>
    <row r="115" ht="15.75" customHeight="1">
      <c r="A115" s="33"/>
      <c r="G115" s="33"/>
    </row>
    <row r="116" ht="15.75" customHeight="1">
      <c r="A116" s="33"/>
      <c r="G116" s="33"/>
    </row>
    <row r="117" ht="15.75" customHeight="1">
      <c r="A117" s="33"/>
      <c r="G117" s="33"/>
    </row>
    <row r="118" ht="15.75" customHeight="1">
      <c r="A118" s="33"/>
      <c r="G118" s="33"/>
    </row>
    <row r="119" ht="15.75" customHeight="1">
      <c r="A119" s="33"/>
      <c r="G119" s="33"/>
    </row>
    <row r="120" ht="15.75" customHeight="1">
      <c r="A120" s="33"/>
      <c r="G120" s="33"/>
    </row>
    <row r="121" ht="15.75" customHeight="1">
      <c r="A121" s="33"/>
      <c r="G121" s="33"/>
    </row>
    <row r="122" ht="15.75" customHeight="1">
      <c r="A122" s="33"/>
      <c r="G122" s="33"/>
    </row>
    <row r="123" ht="15.75" customHeight="1">
      <c r="A123" s="33"/>
      <c r="G123" s="33"/>
    </row>
    <row r="124" ht="15.75" customHeight="1">
      <c r="A124" s="33"/>
      <c r="G124" s="33"/>
    </row>
    <row r="125" ht="15.75" customHeight="1">
      <c r="A125" s="33"/>
      <c r="G125" s="33"/>
    </row>
    <row r="126" ht="15.75" customHeight="1">
      <c r="A126" s="33"/>
      <c r="G126" s="33"/>
    </row>
    <row r="127" ht="15.75" customHeight="1">
      <c r="A127" s="33"/>
      <c r="G127" s="33"/>
    </row>
    <row r="128" ht="15.75" customHeight="1">
      <c r="A128" s="33"/>
      <c r="G128" s="33"/>
    </row>
    <row r="129" ht="15.75" customHeight="1">
      <c r="A129" s="33"/>
      <c r="G129" s="33"/>
    </row>
    <row r="130" ht="15.75" customHeight="1">
      <c r="A130" s="33"/>
      <c r="G130" s="33"/>
    </row>
    <row r="131" ht="15.75" customHeight="1">
      <c r="A131" s="33"/>
      <c r="G131" s="33"/>
    </row>
    <row r="132" ht="15.75" customHeight="1">
      <c r="A132" s="33"/>
      <c r="G132" s="33"/>
    </row>
    <row r="133" ht="15.75" customHeight="1">
      <c r="A133" s="33"/>
      <c r="G133" s="33"/>
    </row>
    <row r="134" ht="15.75" customHeight="1">
      <c r="A134" s="33"/>
      <c r="G134" s="33"/>
    </row>
    <row r="135" ht="15.75" customHeight="1">
      <c r="A135" s="33"/>
      <c r="G135" s="33"/>
    </row>
    <row r="136" ht="15.75" customHeight="1">
      <c r="A136" s="33"/>
      <c r="G136" s="33"/>
    </row>
    <row r="137" ht="15.75" customHeight="1">
      <c r="A137" s="33"/>
      <c r="G137" s="33"/>
    </row>
    <row r="138" ht="15.75" customHeight="1">
      <c r="A138" s="33"/>
      <c r="G138" s="33"/>
    </row>
    <row r="139" ht="15.75" customHeight="1">
      <c r="A139" s="33"/>
      <c r="G139" s="33"/>
    </row>
    <row r="140" ht="15.75" customHeight="1">
      <c r="A140" s="33"/>
      <c r="G140" s="33"/>
    </row>
    <row r="141" ht="15.75" customHeight="1">
      <c r="A141" s="33"/>
      <c r="G141" s="33"/>
    </row>
    <row r="142" ht="15.75" customHeight="1">
      <c r="A142" s="33"/>
      <c r="G142" s="33"/>
    </row>
    <row r="143" ht="15.75" customHeight="1">
      <c r="A143" s="33"/>
      <c r="G143" s="33"/>
    </row>
    <row r="144" ht="15.75" customHeight="1">
      <c r="A144" s="33"/>
      <c r="G144" s="33"/>
    </row>
    <row r="145" ht="15.75" customHeight="1">
      <c r="A145" s="33"/>
      <c r="G145" s="33"/>
    </row>
    <row r="146" ht="15.75" customHeight="1">
      <c r="A146" s="33"/>
      <c r="G146" s="33"/>
    </row>
    <row r="147" ht="15.75" customHeight="1">
      <c r="A147" s="33"/>
      <c r="G147" s="33"/>
    </row>
    <row r="148" ht="15.75" customHeight="1">
      <c r="A148" s="33"/>
      <c r="G148" s="33"/>
    </row>
    <row r="149" ht="15.75" customHeight="1">
      <c r="A149" s="33"/>
      <c r="G149" s="33"/>
    </row>
    <row r="150" ht="15.75" customHeight="1">
      <c r="A150" s="33"/>
      <c r="G150" s="33"/>
    </row>
    <row r="151" ht="15.75" customHeight="1">
      <c r="A151" s="33"/>
      <c r="G151" s="33"/>
    </row>
    <row r="152" ht="15.75" customHeight="1">
      <c r="A152" s="33"/>
      <c r="G152" s="33"/>
    </row>
    <row r="153" ht="15.75" customHeight="1">
      <c r="A153" s="33"/>
      <c r="G153" s="33"/>
    </row>
    <row r="154" ht="15.75" customHeight="1">
      <c r="A154" s="33"/>
      <c r="G154" s="33"/>
    </row>
    <row r="155" ht="15.75" customHeight="1">
      <c r="A155" s="33"/>
      <c r="G155" s="33"/>
    </row>
    <row r="156" ht="15.75" customHeight="1">
      <c r="A156" s="33"/>
      <c r="G156" s="33"/>
    </row>
    <row r="157" ht="15.75" customHeight="1">
      <c r="A157" s="33"/>
      <c r="G157" s="33"/>
    </row>
    <row r="158" ht="15.75" customHeight="1">
      <c r="A158" s="33"/>
      <c r="G158" s="33"/>
    </row>
    <row r="159" ht="15.75" customHeight="1">
      <c r="A159" s="33"/>
      <c r="G159" s="33"/>
    </row>
    <row r="160" ht="15.75" customHeight="1">
      <c r="A160" s="33"/>
      <c r="G160" s="33"/>
    </row>
    <row r="161" ht="15.75" customHeight="1">
      <c r="A161" s="33"/>
      <c r="G161" s="33"/>
    </row>
    <row r="162" ht="15.75" customHeight="1">
      <c r="A162" s="33"/>
      <c r="G162" s="33"/>
    </row>
    <row r="163" ht="15.75" customHeight="1">
      <c r="A163" s="33"/>
      <c r="G163" s="33"/>
    </row>
    <row r="164" ht="15.75" customHeight="1">
      <c r="A164" s="33"/>
      <c r="G164" s="33"/>
    </row>
    <row r="165" ht="15.75" customHeight="1">
      <c r="A165" s="33"/>
      <c r="G165" s="33"/>
    </row>
    <row r="166" ht="15.75" customHeight="1">
      <c r="A166" s="33"/>
      <c r="G166" s="33"/>
    </row>
    <row r="167" ht="15.75" customHeight="1">
      <c r="A167" s="33"/>
      <c r="G167" s="33"/>
    </row>
    <row r="168" ht="15.75" customHeight="1">
      <c r="A168" s="33"/>
      <c r="G168" s="33"/>
    </row>
    <row r="169" ht="15.75" customHeight="1">
      <c r="A169" s="33"/>
      <c r="G169" s="33"/>
    </row>
    <row r="170" ht="15.75" customHeight="1">
      <c r="A170" s="33"/>
      <c r="G170" s="33"/>
    </row>
    <row r="171" ht="15.75" customHeight="1">
      <c r="A171" s="33"/>
      <c r="G171" s="33"/>
    </row>
    <row r="172" ht="15.75" customHeight="1">
      <c r="A172" s="33"/>
      <c r="G172" s="33"/>
    </row>
    <row r="173" ht="15.75" customHeight="1">
      <c r="A173" s="33"/>
      <c r="G173" s="33"/>
    </row>
    <row r="174" ht="15.75" customHeight="1">
      <c r="A174" s="33"/>
      <c r="G174" s="33"/>
    </row>
    <row r="175" ht="15.75" customHeight="1">
      <c r="A175" s="33"/>
      <c r="G175" s="33"/>
    </row>
    <row r="176" ht="15.75" customHeight="1">
      <c r="A176" s="33"/>
      <c r="G176" s="33"/>
    </row>
    <row r="177" ht="15.75" customHeight="1">
      <c r="A177" s="33"/>
      <c r="G177" s="33"/>
    </row>
    <row r="178" ht="15.75" customHeight="1">
      <c r="A178" s="33"/>
      <c r="G178" s="33"/>
    </row>
    <row r="179" ht="15.75" customHeight="1">
      <c r="A179" s="33"/>
      <c r="G179" s="33"/>
    </row>
    <row r="180" ht="15.75" customHeight="1">
      <c r="A180" s="33"/>
      <c r="G180" s="33"/>
    </row>
    <row r="181" ht="15.75" customHeight="1">
      <c r="A181" s="33"/>
      <c r="G181" s="33"/>
    </row>
    <row r="182" ht="15.75" customHeight="1">
      <c r="A182" s="33"/>
      <c r="G182" s="33"/>
    </row>
    <row r="183" ht="15.75" customHeight="1">
      <c r="A183" s="33"/>
      <c r="G183" s="33"/>
    </row>
    <row r="184" ht="15.75" customHeight="1">
      <c r="A184" s="33"/>
      <c r="G184" s="33"/>
    </row>
    <row r="185" ht="15.75" customHeight="1">
      <c r="A185" s="33"/>
      <c r="G185" s="33"/>
    </row>
    <row r="186" ht="15.75" customHeight="1">
      <c r="A186" s="33"/>
      <c r="G186" s="33"/>
    </row>
    <row r="187" ht="15.75" customHeight="1">
      <c r="A187" s="33"/>
      <c r="G187" s="33"/>
    </row>
    <row r="188" ht="15.75" customHeight="1">
      <c r="A188" s="33"/>
      <c r="G188" s="33"/>
    </row>
    <row r="189" ht="15.75" customHeight="1">
      <c r="A189" s="33"/>
      <c r="G189" s="33"/>
    </row>
    <row r="190" ht="15.75" customHeight="1">
      <c r="A190" s="33"/>
      <c r="G190" s="33"/>
    </row>
    <row r="191" ht="15.75" customHeight="1">
      <c r="A191" s="33"/>
      <c r="G191" s="33"/>
    </row>
    <row r="192" ht="15.75" customHeight="1">
      <c r="A192" s="33"/>
      <c r="G192" s="33"/>
    </row>
    <row r="193" ht="15.75" customHeight="1">
      <c r="A193" s="33"/>
      <c r="G193" s="33"/>
    </row>
    <row r="194" ht="15.75" customHeight="1">
      <c r="A194" s="33"/>
      <c r="G194" s="33"/>
    </row>
    <row r="195" ht="15.75" customHeight="1">
      <c r="A195" s="33"/>
      <c r="G195" s="33"/>
    </row>
    <row r="196" ht="15.75" customHeight="1">
      <c r="A196" s="33"/>
      <c r="G196" s="33"/>
    </row>
    <row r="197" ht="15.75" customHeight="1">
      <c r="A197" s="33"/>
      <c r="G197" s="33"/>
    </row>
    <row r="198" ht="15.75" customHeight="1">
      <c r="A198" s="33"/>
      <c r="G198" s="33"/>
    </row>
    <row r="199" ht="15.75" customHeight="1">
      <c r="A199" s="33"/>
      <c r="G199" s="33"/>
    </row>
    <row r="200" ht="15.75" customHeight="1">
      <c r="A200" s="33"/>
      <c r="G200" s="33"/>
    </row>
    <row r="201" ht="15.75" customHeight="1">
      <c r="A201" s="33"/>
      <c r="G201" s="33"/>
    </row>
    <row r="202" ht="15.75" customHeight="1">
      <c r="A202" s="33"/>
      <c r="G202" s="33"/>
    </row>
    <row r="203" ht="15.75" customHeight="1">
      <c r="A203" s="33"/>
      <c r="G203" s="33"/>
    </row>
    <row r="204" ht="15.75" customHeight="1">
      <c r="A204" s="33"/>
      <c r="G204" s="33"/>
    </row>
    <row r="205" ht="15.75" customHeight="1">
      <c r="A205" s="33"/>
      <c r="G205" s="33"/>
    </row>
    <row r="206" ht="15.75" customHeight="1">
      <c r="A206" s="33"/>
      <c r="G206" s="33"/>
    </row>
    <row r="207" ht="15.75" customHeight="1">
      <c r="A207" s="33"/>
      <c r="G207" s="33"/>
    </row>
    <row r="208" ht="15.75" customHeight="1">
      <c r="A208" s="33"/>
      <c r="G208" s="33"/>
    </row>
    <row r="209" ht="15.75" customHeight="1">
      <c r="A209" s="33"/>
      <c r="G209" s="33"/>
    </row>
    <row r="210" ht="15.75" customHeight="1">
      <c r="A210" s="33"/>
      <c r="G210" s="33"/>
    </row>
    <row r="211" ht="15.75" customHeight="1">
      <c r="A211" s="33"/>
      <c r="G211" s="33"/>
    </row>
    <row r="212" ht="15.75" customHeight="1">
      <c r="A212" s="33"/>
      <c r="G212" s="33"/>
    </row>
    <row r="213" ht="15.75" customHeight="1">
      <c r="A213" s="33"/>
      <c r="G213" s="33"/>
    </row>
    <row r="214" ht="15.75" customHeight="1">
      <c r="A214" s="33"/>
      <c r="G214" s="33"/>
    </row>
    <row r="215" ht="15.75" customHeight="1">
      <c r="A215" s="33"/>
      <c r="G215" s="33"/>
    </row>
    <row r="216" ht="15.75" customHeight="1">
      <c r="A216" s="33"/>
      <c r="G216" s="33"/>
    </row>
    <row r="217" ht="15.75" customHeight="1">
      <c r="A217" s="33"/>
      <c r="G217" s="33"/>
    </row>
    <row r="218" ht="15.75" customHeight="1">
      <c r="A218" s="33"/>
      <c r="G218" s="33"/>
    </row>
    <row r="219" ht="15.75" customHeight="1">
      <c r="A219" s="33"/>
      <c r="G219" s="33"/>
    </row>
    <row r="220" ht="15.75" customHeight="1">
      <c r="A220" s="33"/>
      <c r="G220" s="33"/>
    </row>
    <row r="221" ht="15.75" customHeight="1">
      <c r="A221" s="33"/>
      <c r="G221" s="33"/>
    </row>
    <row r="222" ht="15.75" customHeight="1">
      <c r="A222" s="33"/>
      <c r="G222" s="33"/>
    </row>
    <row r="223" ht="15.75" customHeight="1">
      <c r="A223" s="33"/>
      <c r="G223" s="33"/>
    </row>
    <row r="224" ht="15.75" customHeight="1">
      <c r="A224" s="33"/>
      <c r="G224" s="33"/>
    </row>
    <row r="225" ht="15.75" customHeight="1">
      <c r="A225" s="33"/>
      <c r="G225" s="33"/>
    </row>
    <row r="226" ht="15.75" customHeight="1">
      <c r="A226" s="33"/>
      <c r="G226" s="33"/>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2">
    <mergeCell ref="B1:G4"/>
    <mergeCell ref="G11:N15"/>
  </mergeCells>
  <dataValidations>
    <dataValidation type="list" allowBlank="1" showErrorMessage="1" sqref="F6:F37">
      <formula1>"Alto,Medio,Bajo"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
    <col customWidth="1" min="2" max="2" width="15.13"/>
    <col customWidth="1" min="3" max="3" width="33.88"/>
    <col customWidth="1" min="4" max="4" width="2.5"/>
    <col customWidth="1" min="5" max="5" width="42.88"/>
    <col customWidth="1" min="6" max="6" width="2.38"/>
    <col customWidth="1" min="7" max="7" width="52.38"/>
    <col customWidth="1" min="8" max="8" width="2.0"/>
    <col customWidth="1" min="9" max="9" width="62.75"/>
    <col hidden="1" min="11" max="29" width="12.63"/>
  </cols>
  <sheetData>
    <row r="1" ht="37.5" customHeight="1">
      <c r="A1" s="122"/>
      <c r="B1" s="123" t="s">
        <v>222</v>
      </c>
      <c r="J1" s="1"/>
      <c r="K1" s="1"/>
      <c r="L1" s="1"/>
      <c r="M1" s="1"/>
      <c r="N1" s="1"/>
      <c r="O1" s="1"/>
      <c r="P1" s="1"/>
      <c r="Q1" s="1"/>
      <c r="R1" s="1"/>
      <c r="S1" s="1"/>
      <c r="T1" s="1"/>
      <c r="U1" s="1"/>
      <c r="V1" s="1"/>
      <c r="W1" s="1"/>
      <c r="X1" s="1"/>
      <c r="Y1" s="1"/>
      <c r="Z1" s="1"/>
      <c r="AA1" s="1"/>
      <c r="AB1" s="1"/>
      <c r="AC1" s="1"/>
    </row>
    <row r="2" ht="37.5" customHeight="1">
      <c r="A2" s="122"/>
      <c r="J2" s="1"/>
      <c r="K2" s="1"/>
      <c r="L2" s="1"/>
      <c r="M2" s="1"/>
      <c r="N2" s="1"/>
      <c r="O2" s="1"/>
      <c r="P2" s="1"/>
      <c r="Q2" s="1"/>
      <c r="R2" s="1"/>
      <c r="S2" s="1"/>
      <c r="T2" s="1"/>
      <c r="U2" s="1"/>
      <c r="V2" s="1"/>
      <c r="W2" s="1"/>
      <c r="X2" s="1"/>
      <c r="Y2" s="1"/>
      <c r="Z2" s="1"/>
      <c r="AA2" s="1"/>
      <c r="AB2" s="1"/>
      <c r="AC2" s="1"/>
    </row>
    <row r="3" ht="37.5" customHeight="1">
      <c r="A3" s="122"/>
      <c r="B3" s="124"/>
      <c r="C3" s="124"/>
      <c r="D3" s="124"/>
      <c r="E3" s="124"/>
      <c r="F3" s="124"/>
      <c r="G3" s="124"/>
      <c r="H3" s="124"/>
      <c r="I3" s="124"/>
      <c r="J3" s="1"/>
      <c r="K3" s="1"/>
      <c r="L3" s="1"/>
      <c r="M3" s="1"/>
      <c r="N3" s="1"/>
      <c r="O3" s="1"/>
      <c r="P3" s="1"/>
      <c r="Q3" s="1"/>
      <c r="R3" s="1"/>
      <c r="S3" s="1"/>
      <c r="T3" s="1"/>
      <c r="U3" s="1"/>
      <c r="V3" s="1"/>
      <c r="W3" s="1"/>
      <c r="X3" s="1"/>
      <c r="Y3" s="1"/>
      <c r="Z3" s="1"/>
      <c r="AA3" s="1"/>
      <c r="AB3" s="1"/>
      <c r="AC3" s="1"/>
    </row>
    <row r="4" ht="18.75" customHeight="1">
      <c r="A4" s="122"/>
      <c r="B4" s="122"/>
      <c r="C4" s="122"/>
      <c r="D4" s="122"/>
      <c r="E4" s="122"/>
      <c r="F4" s="122"/>
      <c r="G4" s="122"/>
      <c r="H4" s="122"/>
      <c r="I4" s="122"/>
      <c r="J4" s="1"/>
      <c r="K4" s="1"/>
      <c r="L4" s="1"/>
      <c r="M4" s="1"/>
      <c r="N4" s="1"/>
      <c r="O4" s="1"/>
      <c r="P4" s="1"/>
      <c r="Q4" s="1"/>
      <c r="R4" s="1"/>
      <c r="S4" s="1"/>
      <c r="T4" s="1"/>
      <c r="U4" s="1"/>
      <c r="V4" s="1"/>
      <c r="W4" s="1"/>
      <c r="X4" s="1"/>
      <c r="Y4" s="1"/>
      <c r="Z4" s="1"/>
      <c r="AA4" s="1"/>
      <c r="AB4" s="1"/>
      <c r="AC4" s="1"/>
    </row>
    <row r="5" ht="60.0" customHeight="1">
      <c r="A5" s="122"/>
      <c r="B5" s="125" t="s">
        <v>223</v>
      </c>
      <c r="C5" s="126" t="s">
        <v>224</v>
      </c>
      <c r="D5" s="127"/>
      <c r="E5" s="128" t="s">
        <v>225</v>
      </c>
      <c r="F5" s="127"/>
      <c r="G5" s="129" t="s">
        <v>226</v>
      </c>
      <c r="H5" s="127"/>
      <c r="I5" s="130" t="s">
        <v>227</v>
      </c>
      <c r="J5" s="1"/>
      <c r="K5" s="1"/>
      <c r="L5" s="1"/>
      <c r="M5" s="1"/>
      <c r="N5" s="1"/>
      <c r="O5" s="1"/>
      <c r="P5" s="1"/>
      <c r="Q5" s="1"/>
      <c r="R5" s="1"/>
      <c r="S5" s="1"/>
      <c r="T5" s="1"/>
      <c r="U5" s="1"/>
      <c r="V5" s="1"/>
      <c r="W5" s="1"/>
      <c r="X5" s="1"/>
      <c r="Y5" s="1"/>
      <c r="Z5" s="1"/>
      <c r="AA5" s="1"/>
      <c r="AB5" s="1"/>
      <c r="AC5" s="1"/>
    </row>
    <row r="6" ht="37.5" customHeight="1">
      <c r="A6" s="122"/>
      <c r="B6" s="131"/>
      <c r="C6" s="131"/>
      <c r="D6" s="131"/>
      <c r="E6" s="131"/>
      <c r="F6" s="132"/>
      <c r="G6" s="132"/>
      <c r="H6" s="132"/>
      <c r="I6" s="132"/>
      <c r="J6" s="1"/>
      <c r="K6" s="1"/>
      <c r="L6" s="1"/>
      <c r="M6" s="1"/>
      <c r="N6" s="1"/>
      <c r="O6" s="1"/>
      <c r="P6" s="1"/>
      <c r="Q6" s="1"/>
      <c r="R6" s="1"/>
      <c r="S6" s="1"/>
      <c r="T6" s="1"/>
      <c r="U6" s="1"/>
      <c r="V6" s="1"/>
      <c r="W6" s="1"/>
      <c r="X6" s="1"/>
      <c r="Y6" s="1"/>
      <c r="Z6" s="1"/>
      <c r="AA6" s="1"/>
      <c r="AB6" s="1"/>
      <c r="AC6" s="1"/>
    </row>
    <row r="7" ht="15.75" customHeight="1">
      <c r="A7" s="133"/>
      <c r="B7" s="133"/>
      <c r="C7" s="1"/>
      <c r="D7" s="50"/>
      <c r="E7" s="50"/>
      <c r="F7" s="1"/>
      <c r="G7" s="1"/>
      <c r="H7" s="1"/>
      <c r="I7" s="1"/>
    </row>
    <row r="8" ht="72.0" customHeight="1">
      <c r="A8" s="133"/>
      <c r="B8" s="133"/>
      <c r="C8" s="126" t="s">
        <v>228</v>
      </c>
      <c r="D8" s="50"/>
      <c r="E8" s="50"/>
      <c r="F8" s="1"/>
      <c r="G8" s="1"/>
      <c r="H8" s="1"/>
      <c r="I8" s="1"/>
    </row>
    <row r="9" ht="15.75" customHeight="1">
      <c r="A9" s="133"/>
      <c r="B9" s="133"/>
      <c r="C9" s="1"/>
      <c r="D9" s="50"/>
      <c r="E9" s="50"/>
      <c r="F9" s="1"/>
      <c r="G9" s="1"/>
      <c r="H9" s="1"/>
      <c r="I9" s="1"/>
    </row>
    <row r="10" ht="80.25" customHeight="1">
      <c r="A10" s="133"/>
      <c r="B10" s="133"/>
      <c r="C10" s="128" t="s">
        <v>229</v>
      </c>
      <c r="D10" s="127"/>
      <c r="E10" s="128" t="s">
        <v>230</v>
      </c>
      <c r="F10" s="127"/>
      <c r="G10" s="128" t="s">
        <v>231</v>
      </c>
      <c r="H10" s="127"/>
      <c r="I10" s="128" t="s">
        <v>232</v>
      </c>
    </row>
    <row r="11" ht="15.75" customHeight="1">
      <c r="A11" s="133"/>
      <c r="B11" s="133"/>
      <c r="C11" s="1"/>
      <c r="D11" s="50"/>
      <c r="E11" s="50"/>
      <c r="F11" s="1"/>
      <c r="G11" s="1"/>
      <c r="H11" s="1"/>
      <c r="I11" s="1"/>
    </row>
    <row r="12" ht="88.5" customHeight="1">
      <c r="A12" s="133"/>
      <c r="B12" s="133"/>
      <c r="C12" s="129" t="s">
        <v>233</v>
      </c>
      <c r="D12" s="127"/>
      <c r="E12" s="129" t="s">
        <v>233</v>
      </c>
      <c r="F12" s="127"/>
      <c r="G12" s="129" t="s">
        <v>233</v>
      </c>
      <c r="H12" s="127"/>
      <c r="I12" s="129" t="s">
        <v>233</v>
      </c>
    </row>
    <row r="13" ht="15.75" customHeight="1">
      <c r="A13" s="133"/>
      <c r="B13" s="133"/>
      <c r="C13" s="1"/>
      <c r="D13" s="50"/>
      <c r="E13" s="50"/>
      <c r="F13" s="1"/>
      <c r="G13" s="1"/>
      <c r="H13" s="1"/>
      <c r="I13" s="1"/>
    </row>
    <row r="14" ht="88.5" customHeight="1">
      <c r="A14" s="133"/>
      <c r="B14" s="133"/>
      <c r="C14" s="129" t="s">
        <v>234</v>
      </c>
      <c r="D14" s="127"/>
      <c r="E14" s="129" t="s">
        <v>234</v>
      </c>
      <c r="F14" s="127"/>
      <c r="G14" s="129" t="s">
        <v>234</v>
      </c>
      <c r="H14" s="127"/>
      <c r="I14" s="129" t="s">
        <v>235</v>
      </c>
    </row>
    <row r="15" ht="15.75" customHeight="1">
      <c r="A15" s="133"/>
      <c r="B15" s="133"/>
      <c r="C15" s="1"/>
      <c r="D15" s="50"/>
      <c r="E15" s="50"/>
      <c r="F15" s="1"/>
      <c r="G15" s="1"/>
      <c r="H15" s="1"/>
      <c r="I15" s="1"/>
    </row>
    <row r="16" ht="88.5" customHeight="1">
      <c r="A16" s="133"/>
      <c r="B16" s="133"/>
      <c r="C16" s="129" t="s">
        <v>235</v>
      </c>
      <c r="D16" s="127"/>
      <c r="E16" s="129" t="s">
        <v>235</v>
      </c>
      <c r="F16" s="127"/>
      <c r="G16" s="129" t="s">
        <v>234</v>
      </c>
      <c r="H16" s="127"/>
      <c r="I16" s="129" t="s">
        <v>235</v>
      </c>
    </row>
    <row r="17" ht="15.75" customHeight="1">
      <c r="A17" s="133"/>
      <c r="B17" s="133"/>
      <c r="C17" s="1"/>
      <c r="D17" s="50"/>
      <c r="E17" s="50"/>
      <c r="F17" s="1"/>
      <c r="H17" s="1"/>
      <c r="I17" s="1"/>
    </row>
    <row r="18" ht="15.75" customHeight="1">
      <c r="A18" s="133"/>
      <c r="B18" s="133"/>
      <c r="C18" s="1"/>
      <c r="D18" s="50"/>
      <c r="E18" s="50"/>
      <c r="F18" s="1"/>
      <c r="H18" s="1"/>
      <c r="I18" s="1"/>
    </row>
    <row r="19" ht="15.75" customHeight="1">
      <c r="A19" s="133"/>
      <c r="B19" s="133"/>
      <c r="C19" s="1"/>
      <c r="D19" s="50"/>
      <c r="E19" s="50"/>
      <c r="F19" s="1"/>
      <c r="G19" s="1"/>
      <c r="H19" s="1"/>
      <c r="I19" s="1"/>
    </row>
    <row r="20" ht="15.75" customHeight="1">
      <c r="A20" s="133"/>
      <c r="B20" s="133"/>
      <c r="C20" s="1"/>
      <c r="D20" s="50"/>
      <c r="E20" s="50"/>
      <c r="F20" s="1"/>
      <c r="G20" s="1"/>
      <c r="H20" s="1"/>
      <c r="I20" s="1"/>
    </row>
    <row r="21" ht="15.75" customHeight="1">
      <c r="A21" s="133"/>
      <c r="B21" s="133"/>
      <c r="C21" s="1"/>
      <c r="D21" s="50"/>
      <c r="E21" s="50"/>
      <c r="F21" s="1"/>
      <c r="G21" s="1"/>
      <c r="H21" s="1"/>
      <c r="I21" s="1"/>
    </row>
    <row r="22" ht="15.75" customHeight="1">
      <c r="A22" s="133"/>
      <c r="B22" s="133"/>
      <c r="C22" s="1"/>
      <c r="D22" s="50"/>
      <c r="E22" s="50"/>
      <c r="F22" s="1"/>
      <c r="G22" s="1"/>
      <c r="H22" s="1"/>
      <c r="I22" s="1"/>
    </row>
    <row r="23" ht="15.75" customHeight="1">
      <c r="A23" s="133"/>
      <c r="B23" s="133"/>
      <c r="C23" s="1"/>
      <c r="D23" s="50"/>
      <c r="E23" s="50"/>
      <c r="F23" s="1"/>
      <c r="G23" s="1"/>
      <c r="H23" s="1"/>
      <c r="I23" s="1"/>
    </row>
    <row r="24" ht="15.75" customHeight="1">
      <c r="A24" s="133"/>
      <c r="B24" s="133"/>
      <c r="C24" s="1"/>
      <c r="D24" s="50"/>
      <c r="E24" s="50"/>
      <c r="F24" s="1"/>
      <c r="G24" s="1"/>
      <c r="H24" s="1"/>
      <c r="I24" s="1"/>
    </row>
    <row r="25" ht="15.75" customHeight="1">
      <c r="A25" s="133"/>
      <c r="B25" s="133"/>
      <c r="C25" s="1"/>
      <c r="D25" s="50"/>
      <c r="E25" s="50"/>
      <c r="F25" s="1"/>
      <c r="G25" s="1"/>
      <c r="H25" s="1"/>
      <c r="I25" s="1"/>
    </row>
    <row r="26" ht="15.75" customHeight="1">
      <c r="A26" s="133"/>
      <c r="B26" s="133"/>
      <c r="C26" s="1"/>
      <c r="D26" s="50"/>
      <c r="E26" s="50"/>
      <c r="F26" s="1"/>
      <c r="G26" s="1"/>
      <c r="H26" s="1"/>
      <c r="I26" s="1"/>
    </row>
    <row r="27" ht="15.75" customHeight="1">
      <c r="A27" s="133"/>
      <c r="B27" s="133"/>
      <c r="C27" s="1"/>
      <c r="D27" s="50"/>
      <c r="E27" s="50"/>
      <c r="F27" s="1"/>
      <c r="G27" s="1"/>
      <c r="H27" s="1"/>
      <c r="I27" s="1"/>
    </row>
    <row r="28" ht="15.75" customHeight="1">
      <c r="A28" s="133"/>
      <c r="B28" s="133"/>
      <c r="C28" s="1"/>
      <c r="D28" s="50"/>
      <c r="E28" s="50"/>
      <c r="F28" s="1"/>
      <c r="G28" s="1"/>
      <c r="H28" s="1"/>
      <c r="I28" s="1"/>
    </row>
    <row r="29" ht="15.75" customHeight="1">
      <c r="A29" s="133"/>
      <c r="B29" s="133"/>
      <c r="C29" s="1"/>
      <c r="D29" s="50"/>
      <c r="E29" s="50"/>
      <c r="F29" s="1"/>
      <c r="G29" s="1"/>
      <c r="H29" s="1"/>
      <c r="I29" s="1"/>
    </row>
    <row r="30" ht="15.75" customHeight="1">
      <c r="A30" s="133"/>
      <c r="B30" s="133"/>
      <c r="C30" s="1"/>
      <c r="D30" s="50"/>
      <c r="E30" s="50"/>
      <c r="F30" s="1"/>
      <c r="G30" s="1"/>
      <c r="H30" s="1"/>
      <c r="I30" s="1"/>
    </row>
    <row r="31" ht="15.75" customHeight="1">
      <c r="A31" s="133"/>
      <c r="B31" s="133"/>
      <c r="C31" s="1"/>
      <c r="D31" s="50"/>
      <c r="E31" s="50"/>
      <c r="F31" s="1"/>
      <c r="G31" s="1"/>
      <c r="H31" s="1"/>
      <c r="I31" s="1"/>
    </row>
    <row r="32" ht="15.75" customHeight="1">
      <c r="A32" s="133"/>
      <c r="B32" s="133"/>
      <c r="C32" s="1"/>
      <c r="D32" s="50"/>
      <c r="E32" s="50"/>
      <c r="F32" s="1"/>
      <c r="G32" s="1"/>
      <c r="H32" s="1"/>
      <c r="I32" s="1"/>
    </row>
    <row r="33" ht="15.75" customHeight="1">
      <c r="A33" s="133"/>
      <c r="B33" s="133"/>
      <c r="C33" s="1"/>
      <c r="D33" s="50"/>
      <c r="E33" s="50"/>
      <c r="F33" s="1"/>
      <c r="G33" s="1"/>
      <c r="H33" s="1"/>
      <c r="I33" s="1"/>
    </row>
    <row r="34" ht="15.75" customHeight="1">
      <c r="A34" s="133"/>
      <c r="B34" s="133"/>
      <c r="C34" s="1"/>
      <c r="D34" s="50"/>
      <c r="E34" s="50"/>
      <c r="F34" s="1"/>
      <c r="G34" s="1"/>
      <c r="H34" s="1"/>
      <c r="I34" s="1"/>
    </row>
    <row r="35" ht="15.75" customHeight="1">
      <c r="A35" s="133"/>
      <c r="B35" s="133"/>
      <c r="C35" s="1"/>
      <c r="D35" s="50"/>
      <c r="E35" s="50"/>
      <c r="F35" s="1"/>
      <c r="G35" s="1"/>
      <c r="H35" s="1"/>
      <c r="I35" s="1"/>
    </row>
    <row r="36" ht="15.75" customHeight="1">
      <c r="A36" s="133"/>
      <c r="B36" s="133"/>
      <c r="C36" s="1"/>
      <c r="D36" s="50"/>
      <c r="E36" s="50"/>
      <c r="F36" s="1"/>
      <c r="G36" s="1"/>
      <c r="H36" s="1"/>
      <c r="I36" s="1"/>
    </row>
    <row r="37" ht="15.75" customHeight="1">
      <c r="A37" s="133"/>
      <c r="B37" s="133"/>
      <c r="C37" s="1"/>
      <c r="D37" s="50"/>
      <c r="E37" s="50"/>
      <c r="F37" s="1"/>
      <c r="G37" s="1"/>
      <c r="H37" s="1"/>
      <c r="I37" s="1"/>
    </row>
    <row r="38" ht="15.75" customHeight="1">
      <c r="A38" s="133"/>
      <c r="B38" s="133"/>
      <c r="C38" s="1"/>
      <c r="D38" s="50"/>
      <c r="E38" s="50"/>
      <c r="F38" s="1"/>
      <c r="G38" s="1"/>
      <c r="H38" s="1"/>
      <c r="I38" s="1"/>
    </row>
    <row r="39" ht="15.75" customHeight="1">
      <c r="A39" s="133"/>
      <c r="B39" s="133"/>
      <c r="C39" s="1"/>
      <c r="D39" s="50"/>
      <c r="E39" s="50"/>
      <c r="F39" s="1"/>
      <c r="G39" s="1"/>
      <c r="H39" s="1"/>
      <c r="I39" s="1"/>
    </row>
    <row r="40" ht="15.75" customHeight="1">
      <c r="A40" s="133"/>
      <c r="B40" s="133"/>
      <c r="C40" s="1"/>
      <c r="D40" s="50"/>
      <c r="E40" s="50"/>
      <c r="F40" s="1"/>
      <c r="G40" s="1"/>
      <c r="H40" s="1"/>
      <c r="I40" s="1"/>
    </row>
    <row r="41" ht="15.75" customHeight="1">
      <c r="A41" s="133"/>
      <c r="B41" s="133"/>
      <c r="C41" s="1"/>
      <c r="D41" s="50"/>
      <c r="E41" s="50"/>
      <c r="F41" s="1"/>
      <c r="G41" s="1"/>
      <c r="H41" s="1"/>
      <c r="I41" s="1"/>
    </row>
    <row r="42" ht="15.75" customHeight="1">
      <c r="A42" s="133"/>
      <c r="B42" s="133"/>
      <c r="C42" s="1"/>
      <c r="D42" s="50"/>
      <c r="E42" s="50"/>
      <c r="F42" s="1"/>
      <c r="G42" s="1"/>
      <c r="H42" s="1"/>
      <c r="I42" s="1"/>
    </row>
    <row r="43" ht="15.75" customHeight="1">
      <c r="A43" s="133"/>
      <c r="B43" s="133"/>
      <c r="C43" s="1"/>
      <c r="D43" s="50"/>
      <c r="E43" s="50"/>
      <c r="F43" s="1"/>
      <c r="G43" s="1"/>
      <c r="H43" s="1"/>
      <c r="I43" s="1"/>
    </row>
    <row r="44" ht="15.75" customHeight="1">
      <c r="A44" s="133"/>
      <c r="B44" s="133"/>
      <c r="C44" s="1"/>
      <c r="D44" s="50"/>
      <c r="E44" s="50"/>
      <c r="F44" s="1"/>
      <c r="G44" s="1"/>
      <c r="H44" s="1"/>
      <c r="I44" s="1"/>
    </row>
    <row r="45" ht="15.75" customHeight="1">
      <c r="A45" s="133"/>
      <c r="B45" s="133"/>
      <c r="C45" s="1"/>
      <c r="D45" s="50"/>
      <c r="E45" s="50"/>
      <c r="F45" s="1"/>
      <c r="G45" s="1"/>
      <c r="H45" s="1"/>
      <c r="I45" s="1"/>
    </row>
    <row r="46" ht="15.75" customHeight="1">
      <c r="A46" s="133"/>
      <c r="B46" s="133"/>
      <c r="C46" s="1"/>
      <c r="D46" s="50"/>
      <c r="E46" s="50"/>
      <c r="F46" s="1"/>
      <c r="G46" s="1"/>
      <c r="H46" s="1"/>
      <c r="I46" s="1"/>
    </row>
    <row r="47" ht="15.75" customHeight="1">
      <c r="A47" s="133"/>
      <c r="B47" s="133"/>
      <c r="C47" s="1"/>
      <c r="D47" s="50"/>
      <c r="E47" s="50"/>
      <c r="F47" s="1"/>
      <c r="G47" s="1"/>
      <c r="H47" s="1"/>
      <c r="I47" s="1"/>
    </row>
    <row r="48" ht="15.75" customHeight="1">
      <c r="A48" s="133"/>
      <c r="B48" s="133"/>
      <c r="C48" s="1"/>
      <c r="D48" s="50"/>
      <c r="E48" s="50"/>
      <c r="F48" s="1"/>
      <c r="G48" s="1"/>
      <c r="H48" s="1"/>
      <c r="I48" s="1"/>
    </row>
    <row r="49" ht="15.75" customHeight="1">
      <c r="A49" s="133"/>
      <c r="B49" s="133"/>
      <c r="C49" s="1"/>
      <c r="D49" s="50"/>
      <c r="E49" s="50"/>
      <c r="F49" s="1"/>
      <c r="G49" s="1"/>
      <c r="H49" s="1"/>
      <c r="I49" s="1"/>
    </row>
    <row r="50" ht="15.75" customHeight="1">
      <c r="A50" s="133"/>
      <c r="B50" s="133"/>
      <c r="C50" s="1"/>
      <c r="D50" s="50"/>
      <c r="E50" s="50"/>
      <c r="F50" s="1"/>
      <c r="G50" s="1"/>
      <c r="H50" s="1"/>
      <c r="I50" s="1"/>
    </row>
    <row r="51" ht="15.75" customHeight="1">
      <c r="A51" s="133"/>
      <c r="B51" s="133"/>
      <c r="C51" s="1"/>
      <c r="D51" s="50"/>
      <c r="E51" s="50"/>
      <c r="F51" s="1"/>
      <c r="G51" s="1"/>
      <c r="H51" s="1"/>
      <c r="I51" s="1"/>
    </row>
    <row r="52" ht="15.75" customHeight="1">
      <c r="A52" s="133"/>
      <c r="B52" s="133"/>
      <c r="C52" s="1"/>
      <c r="D52" s="50"/>
      <c r="E52" s="50"/>
      <c r="F52" s="1"/>
      <c r="G52" s="1"/>
      <c r="H52" s="1"/>
      <c r="I52" s="1"/>
    </row>
    <row r="53" ht="15.75" customHeight="1">
      <c r="A53" s="133"/>
      <c r="B53" s="133"/>
      <c r="C53" s="1"/>
      <c r="D53" s="50"/>
      <c r="E53" s="50"/>
      <c r="F53" s="1"/>
      <c r="G53" s="1"/>
      <c r="H53" s="1"/>
      <c r="I53" s="1"/>
    </row>
    <row r="54" ht="15.75" customHeight="1">
      <c r="A54" s="133"/>
      <c r="B54" s="133"/>
      <c r="C54" s="1"/>
      <c r="D54" s="50"/>
      <c r="E54" s="50"/>
      <c r="F54" s="1"/>
      <c r="G54" s="1"/>
      <c r="H54" s="1"/>
      <c r="I54" s="1"/>
    </row>
    <row r="55" ht="15.75" customHeight="1">
      <c r="A55" s="133"/>
      <c r="B55" s="133"/>
      <c r="C55" s="1"/>
      <c r="D55" s="50"/>
      <c r="E55" s="50"/>
      <c r="F55" s="1"/>
      <c r="G55" s="1"/>
      <c r="H55" s="1"/>
      <c r="I55" s="1"/>
    </row>
    <row r="56" ht="15.75" customHeight="1">
      <c r="A56" s="133"/>
      <c r="B56" s="133"/>
      <c r="C56" s="1"/>
      <c r="D56" s="50"/>
      <c r="E56" s="50"/>
      <c r="F56" s="1"/>
      <c r="G56" s="1"/>
      <c r="H56" s="1"/>
      <c r="I56" s="1"/>
    </row>
    <row r="57" ht="15.75" customHeight="1">
      <c r="A57" s="133"/>
      <c r="B57" s="133"/>
      <c r="C57" s="1"/>
      <c r="D57" s="50"/>
      <c r="E57" s="50"/>
      <c r="F57" s="1"/>
      <c r="G57" s="1"/>
      <c r="H57" s="1"/>
      <c r="I57" s="1"/>
    </row>
    <row r="58" ht="15.75" customHeight="1">
      <c r="A58" s="133"/>
      <c r="B58" s="133"/>
      <c r="C58" s="1"/>
      <c r="D58" s="50"/>
      <c r="E58" s="50"/>
      <c r="F58" s="1"/>
      <c r="G58" s="1"/>
      <c r="H58" s="1"/>
      <c r="I58" s="1"/>
    </row>
    <row r="59" ht="15.75" customHeight="1">
      <c r="A59" s="133"/>
      <c r="B59" s="133"/>
      <c r="C59" s="1"/>
      <c r="D59" s="50"/>
      <c r="E59" s="50"/>
      <c r="F59" s="1"/>
      <c r="G59" s="1"/>
      <c r="H59" s="1"/>
      <c r="I59" s="1"/>
    </row>
    <row r="60" ht="15.75" customHeight="1">
      <c r="A60" s="133"/>
      <c r="B60" s="133"/>
      <c r="C60" s="1"/>
      <c r="D60" s="50"/>
      <c r="E60" s="50"/>
      <c r="F60" s="1"/>
      <c r="G60" s="1"/>
      <c r="H60" s="1"/>
      <c r="I60" s="1"/>
    </row>
    <row r="61" ht="15.75" customHeight="1">
      <c r="A61" s="133"/>
      <c r="B61" s="133"/>
      <c r="C61" s="1"/>
      <c r="D61" s="50"/>
      <c r="E61" s="50"/>
      <c r="F61" s="1"/>
      <c r="G61" s="1"/>
      <c r="H61" s="1"/>
      <c r="I61" s="1"/>
    </row>
    <row r="62" ht="15.75" customHeight="1">
      <c r="A62" s="133"/>
      <c r="B62" s="133"/>
      <c r="C62" s="1"/>
      <c r="D62" s="50"/>
      <c r="E62" s="50"/>
      <c r="F62" s="1"/>
      <c r="G62" s="1"/>
      <c r="H62" s="1"/>
      <c r="I62" s="1"/>
    </row>
    <row r="63" ht="15.75" customHeight="1">
      <c r="A63" s="133"/>
      <c r="B63" s="133"/>
      <c r="C63" s="1"/>
      <c r="D63" s="50"/>
      <c r="E63" s="50"/>
      <c r="F63" s="1"/>
      <c r="G63" s="1"/>
      <c r="H63" s="1"/>
      <c r="I63" s="1"/>
    </row>
    <row r="64" ht="15.75" customHeight="1">
      <c r="A64" s="133"/>
      <c r="B64" s="133"/>
      <c r="C64" s="1"/>
      <c r="D64" s="50"/>
      <c r="E64" s="50"/>
      <c r="F64" s="1"/>
      <c r="G64" s="1"/>
      <c r="H64" s="1"/>
      <c r="I64" s="1"/>
    </row>
    <row r="65" ht="15.75" customHeight="1">
      <c r="A65" s="133"/>
      <c r="B65" s="133"/>
      <c r="C65" s="1"/>
      <c r="D65" s="50"/>
      <c r="E65" s="50"/>
      <c r="F65" s="1"/>
      <c r="G65" s="1"/>
      <c r="H65" s="1"/>
      <c r="I65" s="1"/>
    </row>
    <row r="66" ht="15.75" customHeight="1">
      <c r="A66" s="133"/>
      <c r="B66" s="133"/>
      <c r="C66" s="1"/>
      <c r="D66" s="50"/>
      <c r="E66" s="50"/>
      <c r="F66" s="1"/>
      <c r="G66" s="1"/>
      <c r="H66" s="1"/>
      <c r="I66" s="1"/>
    </row>
    <row r="67" ht="15.75" customHeight="1">
      <c r="A67" s="133"/>
      <c r="B67" s="133"/>
      <c r="C67" s="1"/>
      <c r="D67" s="50"/>
      <c r="E67" s="50"/>
      <c r="F67" s="1"/>
      <c r="G67" s="1"/>
      <c r="H67" s="1"/>
      <c r="I67" s="1"/>
    </row>
    <row r="68" ht="15.75" customHeight="1">
      <c r="A68" s="133"/>
      <c r="B68" s="133"/>
      <c r="C68" s="1"/>
      <c r="D68" s="50"/>
      <c r="E68" s="50"/>
      <c r="F68" s="1"/>
      <c r="G68" s="1"/>
      <c r="H68" s="1"/>
      <c r="I68" s="1"/>
    </row>
    <row r="69" ht="15.75" customHeight="1">
      <c r="A69" s="133"/>
      <c r="B69" s="133"/>
      <c r="C69" s="1"/>
      <c r="D69" s="50"/>
      <c r="E69" s="50"/>
      <c r="F69" s="1"/>
      <c r="G69" s="1"/>
      <c r="H69" s="1"/>
      <c r="I69" s="1"/>
    </row>
    <row r="70" ht="15.75" customHeight="1">
      <c r="A70" s="133"/>
      <c r="B70" s="133"/>
      <c r="C70" s="1"/>
      <c r="D70" s="50"/>
      <c r="E70" s="50"/>
      <c r="F70" s="1"/>
      <c r="G70" s="1"/>
      <c r="H70" s="1"/>
      <c r="I70" s="1"/>
    </row>
    <row r="71" ht="15.75" customHeight="1">
      <c r="A71" s="133"/>
      <c r="B71" s="133"/>
      <c r="C71" s="1"/>
      <c r="D71" s="50"/>
      <c r="E71" s="50"/>
      <c r="F71" s="1"/>
      <c r="G71" s="1"/>
      <c r="H71" s="1"/>
      <c r="I71" s="1"/>
    </row>
    <row r="72" ht="15.75" customHeight="1">
      <c r="A72" s="133"/>
      <c r="B72" s="133"/>
      <c r="C72" s="1"/>
      <c r="D72" s="50"/>
      <c r="E72" s="50"/>
      <c r="F72" s="1"/>
      <c r="G72" s="1"/>
      <c r="H72" s="1"/>
      <c r="I72" s="1"/>
    </row>
    <row r="73" ht="15.75" customHeight="1">
      <c r="A73" s="133"/>
      <c r="B73" s="133"/>
      <c r="C73" s="1"/>
      <c r="D73" s="50"/>
      <c r="E73" s="50"/>
      <c r="F73" s="1"/>
      <c r="G73" s="1"/>
      <c r="H73" s="1"/>
      <c r="I73" s="1"/>
    </row>
    <row r="74" ht="15.75" customHeight="1">
      <c r="A74" s="133"/>
      <c r="B74" s="133"/>
      <c r="C74" s="1"/>
      <c r="D74" s="50"/>
      <c r="E74" s="50"/>
      <c r="F74" s="1"/>
      <c r="G74" s="1"/>
      <c r="H74" s="1"/>
      <c r="I74" s="1"/>
    </row>
    <row r="75" ht="15.75" customHeight="1">
      <c r="A75" s="133"/>
      <c r="B75" s="133"/>
      <c r="C75" s="1"/>
      <c r="D75" s="50"/>
      <c r="E75" s="50"/>
      <c r="F75" s="1"/>
      <c r="G75" s="1"/>
      <c r="H75" s="1"/>
      <c r="I75" s="1"/>
    </row>
    <row r="76" ht="15.75" customHeight="1">
      <c r="A76" s="133"/>
      <c r="B76" s="133"/>
      <c r="C76" s="1"/>
      <c r="D76" s="50"/>
      <c r="E76" s="50"/>
      <c r="F76" s="1"/>
      <c r="G76" s="1"/>
      <c r="H76" s="1"/>
      <c r="I76" s="1"/>
    </row>
    <row r="77" ht="15.75" customHeight="1">
      <c r="A77" s="133"/>
      <c r="B77" s="133"/>
      <c r="C77" s="1"/>
      <c r="D77" s="50"/>
      <c r="E77" s="50"/>
      <c r="F77" s="1"/>
      <c r="G77" s="1"/>
      <c r="H77" s="1"/>
      <c r="I77" s="1"/>
    </row>
    <row r="78" ht="15.75" customHeight="1">
      <c r="A78" s="133"/>
      <c r="B78" s="133"/>
      <c r="C78" s="1"/>
      <c r="D78" s="50"/>
      <c r="E78" s="50"/>
      <c r="F78" s="1"/>
      <c r="G78" s="1"/>
      <c r="H78" s="1"/>
      <c r="I78" s="1"/>
    </row>
    <row r="79" ht="15.75" customHeight="1">
      <c r="A79" s="133"/>
      <c r="B79" s="133"/>
      <c r="C79" s="1"/>
      <c r="D79" s="50"/>
      <c r="E79" s="50"/>
      <c r="F79" s="1"/>
      <c r="G79" s="1"/>
      <c r="H79" s="1"/>
      <c r="I79" s="1"/>
    </row>
    <row r="80" ht="15.75" customHeight="1">
      <c r="A80" s="133"/>
      <c r="B80" s="133"/>
      <c r="C80" s="1"/>
      <c r="D80" s="50"/>
      <c r="E80" s="50"/>
      <c r="F80" s="1"/>
      <c r="G80" s="1"/>
      <c r="H80" s="1"/>
      <c r="I80" s="1"/>
    </row>
    <row r="81" ht="15.75" customHeight="1">
      <c r="A81" s="133"/>
      <c r="B81" s="133"/>
      <c r="C81" s="1"/>
      <c r="D81" s="50"/>
      <c r="E81" s="50"/>
      <c r="F81" s="1"/>
      <c r="G81" s="1"/>
      <c r="H81" s="1"/>
      <c r="I81" s="1"/>
    </row>
    <row r="82" ht="15.75" customHeight="1">
      <c r="A82" s="133"/>
      <c r="B82" s="133"/>
      <c r="C82" s="1"/>
      <c r="D82" s="50"/>
      <c r="E82" s="50"/>
      <c r="F82" s="1"/>
      <c r="G82" s="1"/>
      <c r="H82" s="1"/>
      <c r="I82" s="1"/>
    </row>
    <row r="83" ht="15.75" customHeight="1">
      <c r="A83" s="133"/>
      <c r="B83" s="133"/>
      <c r="C83" s="1"/>
      <c r="D83" s="50"/>
      <c r="E83" s="50"/>
      <c r="F83" s="1"/>
      <c r="G83" s="1"/>
      <c r="H83" s="1"/>
      <c r="I83" s="1"/>
    </row>
    <row r="84" ht="15.75" customHeight="1">
      <c r="A84" s="133"/>
      <c r="B84" s="133"/>
      <c r="C84" s="1"/>
      <c r="D84" s="50"/>
      <c r="E84" s="50"/>
      <c r="F84" s="1"/>
      <c r="G84" s="1"/>
      <c r="H84" s="1"/>
      <c r="I84" s="1"/>
    </row>
    <row r="85" ht="15.75" customHeight="1">
      <c r="A85" s="133"/>
      <c r="B85" s="133"/>
      <c r="C85" s="1"/>
      <c r="D85" s="50"/>
      <c r="E85" s="50"/>
      <c r="F85" s="1"/>
      <c r="G85" s="1"/>
      <c r="H85" s="1"/>
      <c r="I85" s="1"/>
    </row>
    <row r="86" ht="15.75" customHeight="1">
      <c r="A86" s="133"/>
      <c r="B86" s="133"/>
      <c r="C86" s="1"/>
      <c r="D86" s="50"/>
      <c r="E86" s="50"/>
      <c r="F86" s="1"/>
      <c r="G86" s="1"/>
      <c r="H86" s="1"/>
      <c r="I86" s="1"/>
    </row>
    <row r="87" ht="15.75" customHeight="1">
      <c r="A87" s="133"/>
      <c r="B87" s="133"/>
      <c r="C87" s="1"/>
      <c r="D87" s="50"/>
      <c r="E87" s="50"/>
      <c r="F87" s="1"/>
      <c r="G87" s="1"/>
      <c r="H87" s="1"/>
      <c r="I87" s="1"/>
    </row>
    <row r="88" ht="15.75" customHeight="1">
      <c r="A88" s="133"/>
      <c r="B88" s="133"/>
      <c r="C88" s="1"/>
      <c r="D88" s="50"/>
      <c r="E88" s="50"/>
      <c r="F88" s="1"/>
      <c r="G88" s="1"/>
      <c r="H88" s="1"/>
      <c r="I88" s="1"/>
    </row>
    <row r="89" ht="15.75" customHeight="1">
      <c r="A89" s="133"/>
      <c r="B89" s="133"/>
      <c r="C89" s="1"/>
      <c r="D89" s="50"/>
      <c r="E89" s="50"/>
      <c r="F89" s="1"/>
      <c r="G89" s="1"/>
      <c r="H89" s="1"/>
      <c r="I89" s="1"/>
    </row>
    <row r="90" ht="15.75" customHeight="1">
      <c r="A90" s="133"/>
      <c r="B90" s="133"/>
      <c r="C90" s="1"/>
      <c r="D90" s="50"/>
      <c r="E90" s="50"/>
      <c r="F90" s="1"/>
      <c r="G90" s="1"/>
      <c r="H90" s="1"/>
      <c r="I90" s="1"/>
    </row>
    <row r="91" ht="15.75" customHeight="1">
      <c r="A91" s="133"/>
      <c r="B91" s="133"/>
      <c r="C91" s="1"/>
      <c r="D91" s="50"/>
      <c r="E91" s="50"/>
      <c r="F91" s="1"/>
      <c r="G91" s="1"/>
      <c r="H91" s="1"/>
      <c r="I91" s="1"/>
    </row>
    <row r="92" ht="15.75" customHeight="1">
      <c r="A92" s="133"/>
      <c r="B92" s="133"/>
      <c r="C92" s="1"/>
      <c r="D92" s="50"/>
      <c r="E92" s="50"/>
      <c r="F92" s="1"/>
      <c r="G92" s="1"/>
      <c r="H92" s="1"/>
      <c r="I92" s="1"/>
    </row>
    <row r="93" ht="15.75" customHeight="1">
      <c r="A93" s="133"/>
      <c r="B93" s="133"/>
      <c r="C93" s="1"/>
      <c r="D93" s="50"/>
      <c r="E93" s="50"/>
      <c r="F93" s="1"/>
      <c r="G93" s="1"/>
      <c r="H93" s="1"/>
      <c r="I93" s="1"/>
    </row>
    <row r="94" ht="15.75" customHeight="1">
      <c r="A94" s="133"/>
      <c r="B94" s="133"/>
      <c r="C94" s="1"/>
      <c r="D94" s="50"/>
      <c r="E94" s="50"/>
      <c r="F94" s="1"/>
      <c r="G94" s="1"/>
      <c r="H94" s="1"/>
      <c r="I94" s="1"/>
    </row>
    <row r="95" ht="15.75" customHeight="1">
      <c r="A95" s="133"/>
      <c r="B95" s="133"/>
      <c r="C95" s="1"/>
      <c r="D95" s="50"/>
      <c r="E95" s="50"/>
      <c r="F95" s="1"/>
      <c r="G95" s="1"/>
      <c r="H95" s="1"/>
      <c r="I95" s="1"/>
    </row>
    <row r="96" ht="15.75" customHeight="1">
      <c r="A96" s="133"/>
      <c r="B96" s="133"/>
      <c r="C96" s="1"/>
      <c r="D96" s="50"/>
      <c r="E96" s="50"/>
      <c r="F96" s="1"/>
      <c r="G96" s="1"/>
      <c r="H96" s="1"/>
      <c r="I96" s="1"/>
    </row>
    <row r="97" ht="15.75" customHeight="1">
      <c r="A97" s="133"/>
      <c r="B97" s="133"/>
      <c r="C97" s="1"/>
      <c r="D97" s="50"/>
      <c r="E97" s="50"/>
      <c r="F97" s="1"/>
      <c r="G97" s="1"/>
      <c r="H97" s="1"/>
      <c r="I97" s="1"/>
    </row>
    <row r="98" ht="15.75" customHeight="1">
      <c r="A98" s="133"/>
      <c r="B98" s="133"/>
      <c r="C98" s="1"/>
      <c r="D98" s="50"/>
      <c r="E98" s="50"/>
      <c r="F98" s="1"/>
      <c r="G98" s="1"/>
      <c r="H98" s="1"/>
      <c r="I98" s="1"/>
    </row>
    <row r="99" ht="15.75" customHeight="1">
      <c r="A99" s="133"/>
      <c r="B99" s="133"/>
      <c r="C99" s="1"/>
      <c r="D99" s="50"/>
      <c r="E99" s="50"/>
      <c r="F99" s="1"/>
      <c r="G99" s="1"/>
      <c r="H99" s="1"/>
      <c r="I99" s="1"/>
    </row>
    <row r="100" ht="15.75" customHeight="1">
      <c r="A100" s="133"/>
      <c r="B100" s="133"/>
      <c r="C100" s="1"/>
      <c r="D100" s="50"/>
      <c r="E100" s="50"/>
      <c r="F100" s="1"/>
      <c r="G100" s="1"/>
      <c r="H100" s="1"/>
      <c r="I100" s="1"/>
    </row>
    <row r="101" ht="15.75" customHeight="1">
      <c r="A101" s="133"/>
      <c r="B101" s="133"/>
      <c r="C101" s="1"/>
      <c r="D101" s="50"/>
      <c r="E101" s="50"/>
      <c r="F101" s="1"/>
      <c r="G101" s="1"/>
      <c r="H101" s="1"/>
      <c r="I101" s="1"/>
    </row>
    <row r="102" ht="15.75" customHeight="1">
      <c r="A102" s="133"/>
      <c r="B102" s="133"/>
      <c r="C102" s="1"/>
      <c r="D102" s="50"/>
      <c r="E102" s="50"/>
      <c r="F102" s="1"/>
      <c r="G102" s="1"/>
      <c r="H102" s="1"/>
      <c r="I102" s="1"/>
    </row>
    <row r="103" ht="15.75" customHeight="1">
      <c r="A103" s="133"/>
      <c r="B103" s="133"/>
      <c r="C103" s="1"/>
      <c r="D103" s="50"/>
      <c r="E103" s="50"/>
      <c r="F103" s="1"/>
      <c r="G103" s="1"/>
      <c r="H103" s="1"/>
      <c r="I103" s="1"/>
    </row>
    <row r="104" ht="15.75" customHeight="1">
      <c r="A104" s="133"/>
      <c r="B104" s="133"/>
      <c r="C104" s="1"/>
      <c r="D104" s="50"/>
      <c r="E104" s="50"/>
      <c r="F104" s="1"/>
      <c r="G104" s="1"/>
      <c r="H104" s="1"/>
      <c r="I104" s="1"/>
    </row>
    <row r="105" ht="15.75" customHeight="1">
      <c r="A105" s="133"/>
      <c r="B105" s="133"/>
      <c r="C105" s="1"/>
      <c r="D105" s="50"/>
      <c r="E105" s="50"/>
      <c r="F105" s="1"/>
      <c r="G105" s="1"/>
      <c r="H105" s="1"/>
      <c r="I105" s="1"/>
    </row>
    <row r="106" ht="15.75" customHeight="1">
      <c r="A106" s="133"/>
      <c r="B106" s="133"/>
      <c r="C106" s="1"/>
      <c r="D106" s="50"/>
      <c r="E106" s="50"/>
      <c r="F106" s="1"/>
      <c r="G106" s="1"/>
      <c r="H106" s="1"/>
      <c r="I106" s="1"/>
    </row>
    <row r="107" ht="15.75" customHeight="1">
      <c r="A107" s="133"/>
      <c r="B107" s="133"/>
      <c r="C107" s="1"/>
      <c r="D107" s="50"/>
      <c r="E107" s="50"/>
      <c r="F107" s="1"/>
      <c r="G107" s="1"/>
      <c r="H107" s="1"/>
      <c r="I107" s="1"/>
    </row>
    <row r="108" ht="15.75" customHeight="1">
      <c r="A108" s="133"/>
      <c r="B108" s="133"/>
      <c r="C108" s="1"/>
      <c r="D108" s="50"/>
      <c r="E108" s="50"/>
      <c r="F108" s="1"/>
      <c r="G108" s="1"/>
      <c r="H108" s="1"/>
      <c r="I108" s="1"/>
    </row>
    <row r="109" ht="15.75" customHeight="1">
      <c r="A109" s="133"/>
      <c r="B109" s="133"/>
      <c r="C109" s="1"/>
      <c r="D109" s="50"/>
      <c r="E109" s="50"/>
      <c r="F109" s="1"/>
      <c r="G109" s="1"/>
      <c r="H109" s="1"/>
      <c r="I109" s="1"/>
    </row>
    <row r="110" ht="15.75" customHeight="1">
      <c r="A110" s="133"/>
      <c r="B110" s="133"/>
      <c r="C110" s="1"/>
      <c r="D110" s="50"/>
      <c r="E110" s="50"/>
      <c r="F110" s="1"/>
      <c r="G110" s="1"/>
      <c r="H110" s="1"/>
      <c r="I110" s="1"/>
    </row>
    <row r="111" ht="15.75" customHeight="1">
      <c r="A111" s="133"/>
      <c r="B111" s="133"/>
      <c r="C111" s="1"/>
      <c r="D111" s="50"/>
      <c r="E111" s="50"/>
      <c r="F111" s="1"/>
      <c r="G111" s="1"/>
      <c r="H111" s="1"/>
      <c r="I111" s="1"/>
    </row>
    <row r="112" ht="15.75" customHeight="1">
      <c r="A112" s="133"/>
      <c r="B112" s="133"/>
      <c r="C112" s="1"/>
      <c r="D112" s="50"/>
      <c r="E112" s="50"/>
      <c r="F112" s="1"/>
      <c r="G112" s="1"/>
      <c r="H112" s="1"/>
      <c r="I112" s="1"/>
    </row>
    <row r="113" ht="15.75" customHeight="1">
      <c r="A113" s="133"/>
      <c r="B113" s="133"/>
      <c r="C113" s="1"/>
      <c r="D113" s="50"/>
      <c r="E113" s="50"/>
      <c r="F113" s="1"/>
      <c r="G113" s="1"/>
      <c r="H113" s="1"/>
      <c r="I113" s="1"/>
    </row>
    <row r="114" ht="15.75" customHeight="1">
      <c r="A114" s="133"/>
      <c r="B114" s="133"/>
      <c r="C114" s="1"/>
      <c r="D114" s="50"/>
      <c r="E114" s="50"/>
      <c r="F114" s="1"/>
      <c r="G114" s="1"/>
      <c r="H114" s="1"/>
      <c r="I114" s="1"/>
    </row>
    <row r="115" ht="15.75" customHeight="1">
      <c r="A115" s="133"/>
      <c r="B115" s="133"/>
      <c r="C115" s="1"/>
      <c r="D115" s="50"/>
      <c r="E115" s="50"/>
      <c r="F115" s="1"/>
      <c r="G115" s="1"/>
      <c r="H115" s="1"/>
      <c r="I115" s="1"/>
    </row>
    <row r="116" ht="15.75" customHeight="1">
      <c r="A116" s="133"/>
      <c r="B116" s="133"/>
      <c r="C116" s="1"/>
      <c r="D116" s="50"/>
      <c r="E116" s="50"/>
      <c r="F116" s="1"/>
      <c r="G116" s="1"/>
      <c r="H116" s="1"/>
      <c r="I116" s="1"/>
    </row>
    <row r="117" ht="15.75" customHeight="1">
      <c r="A117" s="133"/>
      <c r="B117" s="133"/>
      <c r="C117" s="1"/>
      <c r="D117" s="50"/>
      <c r="E117" s="50"/>
      <c r="F117" s="1"/>
      <c r="G117" s="1"/>
      <c r="H117" s="1"/>
      <c r="I117" s="1"/>
    </row>
    <row r="118" ht="15.75" customHeight="1">
      <c r="A118" s="133"/>
      <c r="B118" s="133"/>
      <c r="C118" s="1"/>
      <c r="D118" s="50"/>
      <c r="E118" s="50"/>
      <c r="F118" s="1"/>
      <c r="G118" s="1"/>
      <c r="H118" s="1"/>
      <c r="I118" s="1"/>
    </row>
    <row r="119" ht="15.75" customHeight="1">
      <c r="A119" s="133"/>
      <c r="B119" s="133"/>
      <c r="C119" s="1"/>
      <c r="D119" s="50"/>
      <c r="E119" s="50"/>
      <c r="F119" s="1"/>
      <c r="G119" s="1"/>
      <c r="H119" s="1"/>
      <c r="I119" s="1"/>
    </row>
    <row r="120" ht="15.75" customHeight="1">
      <c r="A120" s="133"/>
      <c r="B120" s="133"/>
      <c r="C120" s="1"/>
      <c r="D120" s="50"/>
      <c r="E120" s="50"/>
      <c r="F120" s="1"/>
      <c r="G120" s="1"/>
      <c r="H120" s="1"/>
      <c r="I120" s="1"/>
    </row>
    <row r="121" ht="15.75" customHeight="1">
      <c r="A121" s="133"/>
      <c r="B121" s="133"/>
      <c r="C121" s="1"/>
      <c r="D121" s="50"/>
      <c r="E121" s="50"/>
      <c r="F121" s="1"/>
      <c r="G121" s="1"/>
      <c r="H121" s="1"/>
      <c r="I121" s="1"/>
    </row>
    <row r="122" ht="15.75" customHeight="1">
      <c r="A122" s="133"/>
      <c r="B122" s="133"/>
      <c r="C122" s="1"/>
      <c r="D122" s="50"/>
      <c r="E122" s="50"/>
      <c r="F122" s="1"/>
      <c r="G122" s="1"/>
      <c r="H122" s="1"/>
      <c r="I122" s="1"/>
    </row>
    <row r="123" ht="15.75" customHeight="1">
      <c r="A123" s="133"/>
      <c r="B123" s="133"/>
      <c r="C123" s="1"/>
      <c r="D123" s="50"/>
      <c r="E123" s="50"/>
      <c r="F123" s="1"/>
      <c r="G123" s="1"/>
      <c r="H123" s="1"/>
      <c r="I123" s="1"/>
    </row>
    <row r="124" ht="15.75" customHeight="1">
      <c r="A124" s="133"/>
      <c r="B124" s="133"/>
      <c r="C124" s="1"/>
      <c r="D124" s="50"/>
      <c r="E124" s="50"/>
      <c r="F124" s="1"/>
      <c r="G124" s="1"/>
      <c r="H124" s="1"/>
      <c r="I124" s="1"/>
    </row>
    <row r="125" ht="15.75" customHeight="1">
      <c r="A125" s="133"/>
      <c r="B125" s="133"/>
      <c r="C125" s="1"/>
      <c r="D125" s="50"/>
      <c r="E125" s="50"/>
      <c r="F125" s="1"/>
      <c r="G125" s="1"/>
      <c r="H125" s="1"/>
      <c r="I125" s="1"/>
    </row>
    <row r="126" ht="15.75" customHeight="1">
      <c r="A126" s="133"/>
      <c r="B126" s="133"/>
      <c r="C126" s="1"/>
      <c r="D126" s="50"/>
      <c r="E126" s="50"/>
      <c r="F126" s="1"/>
      <c r="G126" s="1"/>
      <c r="H126" s="1"/>
      <c r="I126" s="1"/>
    </row>
    <row r="127" ht="15.75" customHeight="1">
      <c r="A127" s="133"/>
      <c r="B127" s="133"/>
      <c r="C127" s="1"/>
      <c r="D127" s="50"/>
      <c r="E127" s="50"/>
      <c r="F127" s="1"/>
      <c r="G127" s="1"/>
      <c r="H127" s="1"/>
      <c r="I127" s="1"/>
    </row>
    <row r="128" ht="15.75" customHeight="1">
      <c r="A128" s="133"/>
      <c r="B128" s="133"/>
      <c r="C128" s="1"/>
      <c r="D128" s="50"/>
      <c r="E128" s="50"/>
      <c r="F128" s="1"/>
      <c r="G128" s="1"/>
      <c r="H128" s="1"/>
      <c r="I128" s="1"/>
    </row>
    <row r="129" ht="15.75" customHeight="1">
      <c r="A129" s="133"/>
      <c r="B129" s="133"/>
      <c r="C129" s="1"/>
      <c r="D129" s="50"/>
      <c r="E129" s="50"/>
      <c r="F129" s="1"/>
      <c r="G129" s="1"/>
      <c r="H129" s="1"/>
      <c r="I129" s="1"/>
    </row>
    <row r="130" ht="15.75" customHeight="1">
      <c r="A130" s="133"/>
      <c r="B130" s="133"/>
      <c r="C130" s="1"/>
      <c r="D130" s="50"/>
      <c r="E130" s="50"/>
      <c r="F130" s="1"/>
      <c r="G130" s="1"/>
      <c r="H130" s="1"/>
      <c r="I130" s="1"/>
    </row>
    <row r="131" ht="15.75" customHeight="1">
      <c r="A131" s="133"/>
      <c r="B131" s="133"/>
      <c r="C131" s="1"/>
      <c r="D131" s="50"/>
      <c r="E131" s="50"/>
      <c r="F131" s="1"/>
      <c r="G131" s="1"/>
      <c r="H131" s="1"/>
      <c r="I131" s="1"/>
    </row>
    <row r="132" ht="15.75" customHeight="1">
      <c r="A132" s="133"/>
      <c r="B132" s="133"/>
      <c r="C132" s="1"/>
      <c r="D132" s="50"/>
      <c r="E132" s="50"/>
      <c r="F132" s="1"/>
      <c r="G132" s="1"/>
      <c r="H132" s="1"/>
      <c r="I132" s="1"/>
    </row>
    <row r="133" ht="15.75" customHeight="1">
      <c r="A133" s="133"/>
      <c r="B133" s="133"/>
      <c r="C133" s="1"/>
      <c r="D133" s="50"/>
      <c r="E133" s="50"/>
      <c r="F133" s="1"/>
      <c r="G133" s="1"/>
      <c r="H133" s="1"/>
      <c r="I133" s="1"/>
    </row>
    <row r="134" ht="15.75" customHeight="1">
      <c r="A134" s="133"/>
      <c r="B134" s="133"/>
      <c r="C134" s="1"/>
      <c r="D134" s="50"/>
      <c r="E134" s="50"/>
      <c r="F134" s="1"/>
      <c r="G134" s="1"/>
      <c r="H134" s="1"/>
      <c r="I134" s="1"/>
    </row>
    <row r="135" ht="15.75" customHeight="1">
      <c r="A135" s="133"/>
      <c r="B135" s="133"/>
      <c r="C135" s="1"/>
      <c r="D135" s="50"/>
      <c r="E135" s="50"/>
      <c r="F135" s="1"/>
      <c r="G135" s="1"/>
      <c r="H135" s="1"/>
      <c r="I135" s="1"/>
    </row>
    <row r="136" ht="15.75" customHeight="1">
      <c r="A136" s="133"/>
      <c r="B136" s="133"/>
      <c r="C136" s="1"/>
      <c r="D136" s="50"/>
      <c r="E136" s="50"/>
      <c r="F136" s="1"/>
      <c r="G136" s="1"/>
      <c r="H136" s="1"/>
      <c r="I136" s="1"/>
    </row>
    <row r="137" ht="15.75" customHeight="1">
      <c r="A137" s="133"/>
      <c r="B137" s="133"/>
      <c r="C137" s="1"/>
      <c r="D137" s="50"/>
      <c r="E137" s="50"/>
      <c r="F137" s="1"/>
      <c r="G137" s="1"/>
      <c r="H137" s="1"/>
      <c r="I137" s="1"/>
    </row>
    <row r="138" ht="15.75" customHeight="1">
      <c r="A138" s="133"/>
      <c r="B138" s="133"/>
      <c r="C138" s="1"/>
      <c r="D138" s="50"/>
      <c r="E138" s="50"/>
      <c r="F138" s="1"/>
      <c r="G138" s="1"/>
      <c r="H138" s="1"/>
      <c r="I138" s="1"/>
    </row>
    <row r="139" ht="15.75" customHeight="1">
      <c r="A139" s="133"/>
      <c r="B139" s="133"/>
      <c r="C139" s="1"/>
      <c r="D139" s="50"/>
      <c r="E139" s="50"/>
      <c r="F139" s="1"/>
      <c r="G139" s="1"/>
      <c r="H139" s="1"/>
      <c r="I139" s="1"/>
    </row>
    <row r="140" ht="15.75" customHeight="1">
      <c r="A140" s="133"/>
      <c r="B140" s="133"/>
      <c r="C140" s="1"/>
      <c r="D140" s="50"/>
      <c r="E140" s="50"/>
      <c r="F140" s="1"/>
      <c r="G140" s="1"/>
      <c r="H140" s="1"/>
      <c r="I140" s="1"/>
    </row>
    <row r="141" ht="15.75" customHeight="1">
      <c r="A141" s="133"/>
      <c r="B141" s="133"/>
      <c r="C141" s="1"/>
      <c r="D141" s="50"/>
      <c r="E141" s="50"/>
      <c r="F141" s="1"/>
      <c r="G141" s="1"/>
      <c r="H141" s="1"/>
      <c r="I141" s="1"/>
    </row>
    <row r="142" ht="15.75" customHeight="1">
      <c r="A142" s="133"/>
      <c r="B142" s="133"/>
      <c r="C142" s="1"/>
      <c r="D142" s="50"/>
      <c r="E142" s="50"/>
      <c r="F142" s="1"/>
      <c r="G142" s="1"/>
      <c r="H142" s="1"/>
      <c r="I142" s="1"/>
    </row>
    <row r="143" ht="15.75" customHeight="1">
      <c r="A143" s="133"/>
      <c r="B143" s="133"/>
      <c r="C143" s="1"/>
      <c r="D143" s="50"/>
      <c r="E143" s="50"/>
      <c r="F143" s="1"/>
      <c r="G143" s="1"/>
      <c r="H143" s="1"/>
      <c r="I143" s="1"/>
    </row>
    <row r="144" ht="15.75" customHeight="1">
      <c r="A144" s="133"/>
      <c r="B144" s="133"/>
      <c r="C144" s="1"/>
      <c r="D144" s="50"/>
      <c r="E144" s="50"/>
      <c r="F144" s="1"/>
      <c r="G144" s="1"/>
      <c r="H144" s="1"/>
      <c r="I144" s="1"/>
    </row>
    <row r="145" ht="15.75" customHeight="1">
      <c r="A145" s="133"/>
      <c r="B145" s="133"/>
      <c r="C145" s="1"/>
      <c r="D145" s="50"/>
      <c r="E145" s="50"/>
      <c r="F145" s="1"/>
      <c r="G145" s="1"/>
      <c r="H145" s="1"/>
      <c r="I145" s="1"/>
    </row>
    <row r="146" ht="15.75" customHeight="1">
      <c r="A146" s="133"/>
      <c r="B146" s="133"/>
      <c r="C146" s="1"/>
      <c r="D146" s="50"/>
      <c r="E146" s="50"/>
      <c r="F146" s="1"/>
      <c r="G146" s="1"/>
      <c r="H146" s="1"/>
      <c r="I146" s="1"/>
    </row>
    <row r="147" ht="15.75" customHeight="1">
      <c r="A147" s="133"/>
      <c r="B147" s="133"/>
      <c r="C147" s="1"/>
      <c r="D147" s="50"/>
      <c r="E147" s="50"/>
      <c r="F147" s="1"/>
      <c r="G147" s="1"/>
      <c r="H147" s="1"/>
      <c r="I147" s="1"/>
    </row>
    <row r="148" ht="15.75" customHeight="1">
      <c r="A148" s="133"/>
      <c r="B148" s="133"/>
      <c r="C148" s="1"/>
      <c r="D148" s="50"/>
      <c r="E148" s="50"/>
      <c r="F148" s="1"/>
      <c r="G148" s="1"/>
      <c r="H148" s="1"/>
      <c r="I148" s="1"/>
    </row>
    <row r="149" ht="15.75" customHeight="1">
      <c r="A149" s="133"/>
      <c r="B149" s="133"/>
      <c r="C149" s="1"/>
      <c r="D149" s="50"/>
      <c r="E149" s="50"/>
      <c r="F149" s="1"/>
      <c r="G149" s="1"/>
      <c r="H149" s="1"/>
      <c r="I149" s="1"/>
    </row>
    <row r="150" ht="15.75" customHeight="1">
      <c r="A150" s="133"/>
      <c r="B150" s="133"/>
      <c r="C150" s="1"/>
      <c r="D150" s="50"/>
      <c r="E150" s="50"/>
      <c r="F150" s="1"/>
      <c r="G150" s="1"/>
      <c r="H150" s="1"/>
      <c r="I150" s="1"/>
    </row>
    <row r="151" ht="15.75" customHeight="1">
      <c r="A151" s="133"/>
      <c r="B151" s="133"/>
      <c r="C151" s="1"/>
      <c r="D151" s="50"/>
      <c r="E151" s="50"/>
      <c r="F151" s="1"/>
      <c r="G151" s="1"/>
      <c r="H151" s="1"/>
      <c r="I151" s="1"/>
    </row>
    <row r="152" ht="15.75" customHeight="1">
      <c r="A152" s="133"/>
      <c r="B152" s="133"/>
      <c r="C152" s="1"/>
      <c r="D152" s="50"/>
      <c r="E152" s="50"/>
      <c r="F152" s="1"/>
      <c r="G152" s="1"/>
      <c r="H152" s="1"/>
      <c r="I152" s="1"/>
    </row>
    <row r="153" ht="15.75" customHeight="1">
      <c r="A153" s="133"/>
      <c r="B153" s="133"/>
      <c r="C153" s="1"/>
      <c r="D153" s="50"/>
      <c r="E153" s="50"/>
      <c r="F153" s="1"/>
      <c r="G153" s="1"/>
      <c r="H153" s="1"/>
      <c r="I153" s="1"/>
    </row>
    <row r="154" ht="15.75" customHeight="1">
      <c r="A154" s="133"/>
      <c r="B154" s="133"/>
      <c r="C154" s="1"/>
      <c r="D154" s="50"/>
      <c r="E154" s="50"/>
      <c r="F154" s="1"/>
      <c r="G154" s="1"/>
      <c r="H154" s="1"/>
      <c r="I154" s="1"/>
    </row>
    <row r="155" ht="15.75" customHeight="1">
      <c r="A155" s="133"/>
      <c r="B155" s="133"/>
      <c r="C155" s="1"/>
      <c r="D155" s="50"/>
      <c r="E155" s="50"/>
      <c r="F155" s="1"/>
      <c r="G155" s="1"/>
      <c r="H155" s="1"/>
      <c r="I155" s="1"/>
    </row>
    <row r="156" ht="15.75" customHeight="1">
      <c r="A156" s="133"/>
      <c r="B156" s="133"/>
      <c r="C156" s="1"/>
      <c r="D156" s="50"/>
      <c r="E156" s="50"/>
      <c r="F156" s="1"/>
      <c r="G156" s="1"/>
      <c r="H156" s="1"/>
      <c r="I156" s="1"/>
    </row>
    <row r="157" ht="15.75" customHeight="1">
      <c r="A157" s="133"/>
      <c r="B157" s="133"/>
      <c r="C157" s="1"/>
      <c r="D157" s="50"/>
      <c r="E157" s="50"/>
      <c r="F157" s="1"/>
      <c r="G157" s="1"/>
      <c r="H157" s="1"/>
      <c r="I157" s="1"/>
    </row>
    <row r="158" ht="15.75" customHeight="1">
      <c r="A158" s="133"/>
      <c r="B158" s="133"/>
      <c r="C158" s="1"/>
      <c r="D158" s="50"/>
      <c r="E158" s="50"/>
      <c r="F158" s="1"/>
      <c r="G158" s="1"/>
      <c r="H158" s="1"/>
      <c r="I158" s="1"/>
    </row>
    <row r="159" ht="15.75" customHeight="1">
      <c r="A159" s="133"/>
      <c r="B159" s="133"/>
      <c r="C159" s="1"/>
      <c r="D159" s="50"/>
      <c r="E159" s="50"/>
      <c r="F159" s="1"/>
      <c r="G159" s="1"/>
      <c r="H159" s="1"/>
      <c r="I159" s="1"/>
    </row>
    <row r="160" ht="15.75" customHeight="1">
      <c r="A160" s="133"/>
      <c r="B160" s="133"/>
      <c r="C160" s="1"/>
      <c r="D160" s="50"/>
      <c r="E160" s="50"/>
      <c r="F160" s="1"/>
      <c r="G160" s="1"/>
      <c r="H160" s="1"/>
      <c r="I160" s="1"/>
    </row>
    <row r="161" ht="15.75" customHeight="1">
      <c r="A161" s="133"/>
      <c r="B161" s="133"/>
      <c r="C161" s="1"/>
      <c r="D161" s="50"/>
      <c r="E161" s="50"/>
      <c r="F161" s="1"/>
      <c r="G161" s="1"/>
      <c r="H161" s="1"/>
      <c r="I161" s="1"/>
    </row>
    <row r="162" ht="15.75" customHeight="1">
      <c r="A162" s="133"/>
      <c r="B162" s="133"/>
      <c r="C162" s="1"/>
      <c r="D162" s="50"/>
      <c r="E162" s="50"/>
      <c r="F162" s="1"/>
      <c r="G162" s="1"/>
      <c r="H162" s="1"/>
      <c r="I162" s="1"/>
    </row>
    <row r="163" ht="15.75" customHeight="1">
      <c r="A163" s="133"/>
      <c r="B163" s="133"/>
      <c r="C163" s="1"/>
      <c r="D163" s="50"/>
      <c r="E163" s="50"/>
      <c r="F163" s="1"/>
      <c r="G163" s="1"/>
      <c r="H163" s="1"/>
      <c r="I163" s="1"/>
    </row>
    <row r="164" ht="15.75" customHeight="1">
      <c r="A164" s="133"/>
      <c r="B164" s="133"/>
      <c r="C164" s="1"/>
      <c r="D164" s="50"/>
      <c r="E164" s="50"/>
      <c r="F164" s="1"/>
      <c r="G164" s="1"/>
      <c r="H164" s="1"/>
      <c r="I164" s="1"/>
    </row>
    <row r="165" ht="15.75" customHeight="1">
      <c r="A165" s="133"/>
      <c r="B165" s="133"/>
      <c r="C165" s="1"/>
      <c r="D165" s="50"/>
      <c r="E165" s="50"/>
      <c r="F165" s="1"/>
      <c r="G165" s="1"/>
      <c r="H165" s="1"/>
      <c r="I165" s="1"/>
    </row>
    <row r="166" ht="15.75" customHeight="1">
      <c r="A166" s="133"/>
      <c r="B166" s="133"/>
      <c r="C166" s="1"/>
      <c r="D166" s="50"/>
      <c r="E166" s="50"/>
      <c r="F166" s="1"/>
      <c r="G166" s="1"/>
      <c r="H166" s="1"/>
      <c r="I166" s="1"/>
    </row>
    <row r="167" ht="15.75" customHeight="1">
      <c r="A167" s="133"/>
      <c r="B167" s="133"/>
      <c r="C167" s="1"/>
      <c r="D167" s="50"/>
      <c r="E167" s="50"/>
      <c r="F167" s="1"/>
      <c r="G167" s="1"/>
      <c r="H167" s="1"/>
      <c r="I167" s="1"/>
    </row>
    <row r="168" ht="15.75" customHeight="1">
      <c r="A168" s="133"/>
      <c r="B168" s="133"/>
      <c r="C168" s="1"/>
      <c r="D168" s="50"/>
      <c r="E168" s="50"/>
      <c r="F168" s="1"/>
      <c r="G168" s="1"/>
      <c r="H168" s="1"/>
      <c r="I168" s="1"/>
    </row>
    <row r="169" ht="15.75" customHeight="1">
      <c r="A169" s="133"/>
      <c r="B169" s="133"/>
      <c r="C169" s="1"/>
      <c r="D169" s="50"/>
      <c r="E169" s="50"/>
      <c r="F169" s="1"/>
      <c r="G169" s="1"/>
      <c r="H169" s="1"/>
      <c r="I169" s="1"/>
    </row>
    <row r="170" ht="15.75" customHeight="1">
      <c r="A170" s="133"/>
      <c r="B170" s="133"/>
      <c r="C170" s="1"/>
      <c r="D170" s="50"/>
      <c r="E170" s="50"/>
      <c r="F170" s="1"/>
      <c r="G170" s="1"/>
      <c r="H170" s="1"/>
      <c r="I170" s="1"/>
    </row>
    <row r="171" ht="15.75" customHeight="1">
      <c r="A171" s="133"/>
      <c r="B171" s="133"/>
      <c r="C171" s="1"/>
      <c r="D171" s="50"/>
      <c r="E171" s="50"/>
      <c r="F171" s="1"/>
      <c r="G171" s="1"/>
      <c r="H171" s="1"/>
      <c r="I171" s="1"/>
    </row>
    <row r="172" ht="15.75" customHeight="1">
      <c r="A172" s="133"/>
      <c r="B172" s="133"/>
      <c r="C172" s="1"/>
      <c r="D172" s="50"/>
      <c r="E172" s="50"/>
      <c r="F172" s="1"/>
      <c r="G172" s="1"/>
      <c r="H172" s="1"/>
      <c r="I172" s="1"/>
    </row>
    <row r="173" ht="15.75" customHeight="1">
      <c r="A173" s="133"/>
      <c r="B173" s="133"/>
      <c r="C173" s="1"/>
      <c r="D173" s="50"/>
      <c r="E173" s="50"/>
      <c r="F173" s="1"/>
      <c r="G173" s="1"/>
      <c r="H173" s="1"/>
      <c r="I173" s="1"/>
    </row>
    <row r="174" ht="15.75" customHeight="1">
      <c r="A174" s="133"/>
      <c r="B174" s="133"/>
      <c r="C174" s="1"/>
      <c r="D174" s="50"/>
      <c r="E174" s="50"/>
      <c r="F174" s="1"/>
      <c r="G174" s="1"/>
      <c r="H174" s="1"/>
      <c r="I174" s="1"/>
    </row>
    <row r="175" ht="15.75" customHeight="1">
      <c r="A175" s="133"/>
      <c r="B175" s="133"/>
      <c r="C175" s="1"/>
      <c r="D175" s="50"/>
      <c r="E175" s="50"/>
      <c r="F175" s="1"/>
      <c r="G175" s="1"/>
      <c r="H175" s="1"/>
      <c r="I175" s="1"/>
    </row>
    <row r="176" ht="15.75" customHeight="1">
      <c r="A176" s="133"/>
      <c r="B176" s="133"/>
      <c r="C176" s="1"/>
      <c r="D176" s="50"/>
      <c r="E176" s="50"/>
      <c r="F176" s="1"/>
      <c r="G176" s="1"/>
      <c r="H176" s="1"/>
      <c r="I176" s="1"/>
    </row>
    <row r="177" ht="15.75" customHeight="1">
      <c r="A177" s="133"/>
      <c r="B177" s="133"/>
      <c r="C177" s="1"/>
      <c r="D177" s="50"/>
      <c r="E177" s="50"/>
      <c r="F177" s="1"/>
      <c r="G177" s="1"/>
      <c r="H177" s="1"/>
      <c r="I177" s="1"/>
    </row>
    <row r="178" ht="15.75" customHeight="1">
      <c r="A178" s="133"/>
      <c r="B178" s="133"/>
      <c r="C178" s="1"/>
      <c r="D178" s="50"/>
      <c r="E178" s="50"/>
      <c r="F178" s="1"/>
      <c r="G178" s="1"/>
      <c r="H178" s="1"/>
      <c r="I178" s="1"/>
    </row>
    <row r="179" ht="15.75" customHeight="1">
      <c r="A179" s="133"/>
      <c r="B179" s="133"/>
      <c r="C179" s="1"/>
      <c r="D179" s="50"/>
      <c r="E179" s="50"/>
      <c r="F179" s="1"/>
      <c r="G179" s="1"/>
      <c r="H179" s="1"/>
      <c r="I179" s="1"/>
    </row>
    <row r="180" ht="15.75" customHeight="1">
      <c r="A180" s="133"/>
      <c r="B180" s="133"/>
      <c r="C180" s="1"/>
      <c r="D180" s="50"/>
      <c r="E180" s="50"/>
      <c r="F180" s="1"/>
      <c r="G180" s="1"/>
      <c r="H180" s="1"/>
      <c r="I180" s="1"/>
    </row>
    <row r="181" ht="15.75" customHeight="1">
      <c r="A181" s="133"/>
      <c r="B181" s="133"/>
      <c r="C181" s="1"/>
      <c r="D181" s="50"/>
      <c r="E181" s="50"/>
      <c r="F181" s="1"/>
      <c r="G181" s="1"/>
      <c r="H181" s="1"/>
      <c r="I181" s="1"/>
    </row>
    <row r="182" ht="15.75" customHeight="1">
      <c r="A182" s="133"/>
      <c r="B182" s="133"/>
      <c r="C182" s="1"/>
      <c r="D182" s="50"/>
      <c r="E182" s="50"/>
      <c r="F182" s="1"/>
      <c r="G182" s="1"/>
      <c r="H182" s="1"/>
      <c r="I182" s="1"/>
    </row>
    <row r="183" ht="15.75" customHeight="1">
      <c r="A183" s="133"/>
      <c r="B183" s="133"/>
      <c r="C183" s="1"/>
      <c r="D183" s="50"/>
      <c r="E183" s="50"/>
      <c r="F183" s="1"/>
      <c r="G183" s="1"/>
      <c r="H183" s="1"/>
      <c r="I183" s="1"/>
    </row>
    <row r="184" ht="15.75" customHeight="1">
      <c r="A184" s="133"/>
      <c r="B184" s="133"/>
      <c r="C184" s="1"/>
      <c r="D184" s="50"/>
      <c r="E184" s="50"/>
      <c r="F184" s="1"/>
      <c r="G184" s="1"/>
      <c r="H184" s="1"/>
      <c r="I184" s="1"/>
    </row>
    <row r="185" ht="15.75" customHeight="1">
      <c r="A185" s="133"/>
      <c r="B185" s="133"/>
      <c r="C185" s="1"/>
      <c r="D185" s="50"/>
      <c r="E185" s="50"/>
      <c r="F185" s="1"/>
      <c r="G185" s="1"/>
      <c r="H185" s="1"/>
      <c r="I185" s="1"/>
    </row>
    <row r="186" ht="15.75" customHeight="1">
      <c r="A186" s="133"/>
      <c r="B186" s="133"/>
      <c r="C186" s="1"/>
      <c r="D186" s="50"/>
      <c r="E186" s="50"/>
      <c r="F186" s="1"/>
      <c r="G186" s="1"/>
      <c r="H186" s="1"/>
      <c r="I186" s="1"/>
    </row>
    <row r="187" ht="15.75" customHeight="1">
      <c r="A187" s="133"/>
      <c r="B187" s="133"/>
      <c r="C187" s="1"/>
      <c r="D187" s="50"/>
      <c r="E187" s="50"/>
      <c r="F187" s="1"/>
      <c r="G187" s="1"/>
      <c r="H187" s="1"/>
      <c r="I187" s="1"/>
    </row>
    <row r="188" ht="15.75" customHeight="1">
      <c r="A188" s="133"/>
      <c r="B188" s="133"/>
      <c r="C188" s="1"/>
      <c r="D188" s="50"/>
      <c r="E188" s="50"/>
      <c r="F188" s="1"/>
      <c r="G188" s="1"/>
      <c r="H188" s="1"/>
      <c r="I188" s="1"/>
    </row>
    <row r="189" ht="15.75" customHeight="1">
      <c r="A189" s="133"/>
      <c r="B189" s="133"/>
      <c r="C189" s="1"/>
      <c r="D189" s="50"/>
      <c r="E189" s="50"/>
      <c r="F189" s="1"/>
      <c r="G189" s="1"/>
      <c r="H189" s="1"/>
      <c r="I189" s="1"/>
    </row>
    <row r="190" ht="15.75" customHeight="1">
      <c r="A190" s="133"/>
      <c r="B190" s="133"/>
      <c r="C190" s="1"/>
      <c r="D190" s="50"/>
      <c r="E190" s="50"/>
      <c r="F190" s="1"/>
      <c r="G190" s="1"/>
      <c r="H190" s="1"/>
      <c r="I190" s="1"/>
    </row>
    <row r="191" ht="15.75" customHeight="1">
      <c r="A191" s="133"/>
      <c r="B191" s="133"/>
      <c r="C191" s="1"/>
      <c r="D191" s="50"/>
      <c r="E191" s="50"/>
      <c r="F191" s="1"/>
      <c r="G191" s="1"/>
      <c r="H191" s="1"/>
      <c r="I191" s="1"/>
    </row>
    <row r="192" ht="15.75" customHeight="1">
      <c r="A192" s="133"/>
      <c r="B192" s="133"/>
      <c r="C192" s="1"/>
      <c r="D192" s="50"/>
      <c r="E192" s="50"/>
      <c r="F192" s="1"/>
      <c r="G192" s="1"/>
      <c r="H192" s="1"/>
      <c r="I192" s="1"/>
    </row>
    <row r="193" ht="15.75" customHeight="1">
      <c r="A193" s="133"/>
      <c r="B193" s="133"/>
      <c r="C193" s="1"/>
      <c r="D193" s="50"/>
      <c r="E193" s="50"/>
      <c r="F193" s="1"/>
      <c r="G193" s="1"/>
      <c r="H193" s="1"/>
      <c r="I193" s="1"/>
    </row>
    <row r="194" ht="15.75" customHeight="1">
      <c r="A194" s="133"/>
      <c r="B194" s="133"/>
      <c r="C194" s="1"/>
      <c r="D194" s="50"/>
      <c r="E194" s="50"/>
      <c r="F194" s="1"/>
      <c r="G194" s="1"/>
      <c r="H194" s="1"/>
      <c r="I194" s="1"/>
    </row>
    <row r="195" ht="15.75" customHeight="1">
      <c r="A195" s="133"/>
      <c r="B195" s="133"/>
      <c r="C195" s="1"/>
      <c r="D195" s="50"/>
      <c r="E195" s="50"/>
      <c r="F195" s="1"/>
      <c r="G195" s="1"/>
      <c r="H195" s="1"/>
      <c r="I195" s="1"/>
    </row>
    <row r="196" ht="15.75" customHeight="1">
      <c r="A196" s="133"/>
      <c r="B196" s="133"/>
      <c r="C196" s="1"/>
      <c r="D196" s="50"/>
      <c r="E196" s="50"/>
      <c r="F196" s="1"/>
      <c r="G196" s="1"/>
      <c r="H196" s="1"/>
      <c r="I196" s="1"/>
    </row>
    <row r="197" ht="15.75" customHeight="1">
      <c r="A197" s="133"/>
      <c r="B197" s="133"/>
      <c r="C197" s="1"/>
      <c r="D197" s="50"/>
      <c r="E197" s="50"/>
      <c r="F197" s="1"/>
      <c r="G197" s="1"/>
      <c r="H197" s="1"/>
      <c r="I197" s="1"/>
    </row>
    <row r="198" ht="15.75" customHeight="1">
      <c r="A198" s="133"/>
      <c r="B198" s="133"/>
      <c r="C198" s="1"/>
      <c r="D198" s="50"/>
      <c r="E198" s="50"/>
      <c r="F198" s="1"/>
      <c r="G198" s="1"/>
      <c r="H198" s="1"/>
      <c r="I198" s="1"/>
    </row>
    <row r="199" ht="15.75" customHeight="1">
      <c r="A199" s="133"/>
      <c r="B199" s="133"/>
      <c r="C199" s="1"/>
      <c r="D199" s="50"/>
      <c r="E199" s="50"/>
      <c r="F199" s="1"/>
      <c r="G199" s="1"/>
      <c r="H199" s="1"/>
      <c r="I199" s="1"/>
    </row>
    <row r="200" ht="15.75" customHeight="1">
      <c r="A200" s="133"/>
      <c r="B200" s="133"/>
      <c r="C200" s="1"/>
      <c r="D200" s="50"/>
      <c r="E200" s="50"/>
      <c r="F200" s="1"/>
      <c r="G200" s="1"/>
      <c r="H200" s="1"/>
      <c r="I200" s="1"/>
    </row>
    <row r="201" ht="15.75" customHeight="1">
      <c r="A201" s="133"/>
      <c r="B201" s="133"/>
      <c r="C201" s="1"/>
      <c r="D201" s="50"/>
      <c r="E201" s="50"/>
      <c r="F201" s="1"/>
      <c r="G201" s="1"/>
      <c r="H201" s="1"/>
      <c r="I201" s="1"/>
    </row>
    <row r="202" ht="15.75" customHeight="1">
      <c r="A202" s="133"/>
      <c r="B202" s="133"/>
      <c r="C202" s="1"/>
      <c r="D202" s="50"/>
      <c r="E202" s="50"/>
      <c r="F202" s="1"/>
      <c r="G202" s="1"/>
      <c r="H202" s="1"/>
      <c r="I202" s="1"/>
    </row>
    <row r="203" ht="15.75" customHeight="1">
      <c r="A203" s="133"/>
      <c r="B203" s="133"/>
      <c r="C203" s="1"/>
      <c r="D203" s="50"/>
      <c r="E203" s="50"/>
      <c r="F203" s="1"/>
      <c r="G203" s="1"/>
      <c r="H203" s="1"/>
      <c r="I203" s="1"/>
    </row>
    <row r="204" ht="15.75" customHeight="1">
      <c r="A204" s="133"/>
      <c r="B204" s="133"/>
      <c r="C204" s="1"/>
      <c r="D204" s="50"/>
      <c r="E204" s="50"/>
      <c r="F204" s="1"/>
      <c r="G204" s="1"/>
      <c r="H204" s="1"/>
      <c r="I204" s="1"/>
    </row>
    <row r="205" ht="15.75" customHeight="1">
      <c r="A205" s="133"/>
      <c r="B205" s="133"/>
      <c r="C205" s="1"/>
      <c r="D205" s="50"/>
      <c r="E205" s="50"/>
      <c r="F205" s="1"/>
      <c r="G205" s="1"/>
      <c r="H205" s="1"/>
      <c r="I205" s="1"/>
    </row>
    <row r="206" ht="15.75" customHeight="1">
      <c r="A206" s="133"/>
      <c r="B206" s="133"/>
      <c r="C206" s="1"/>
      <c r="D206" s="50"/>
      <c r="E206" s="50"/>
      <c r="F206" s="1"/>
      <c r="G206" s="1"/>
      <c r="H206" s="1"/>
      <c r="I206" s="1"/>
    </row>
    <row r="207" ht="15.75" customHeight="1">
      <c r="A207" s="133"/>
      <c r="B207" s="133"/>
      <c r="C207" s="1"/>
      <c r="D207" s="50"/>
      <c r="E207" s="50"/>
      <c r="F207" s="1"/>
      <c r="G207" s="1"/>
      <c r="H207" s="1"/>
      <c r="I207" s="1"/>
    </row>
    <row r="208" ht="15.75" customHeight="1">
      <c r="A208" s="133"/>
      <c r="B208" s="133"/>
      <c r="C208" s="1"/>
      <c r="D208" s="50"/>
      <c r="E208" s="50"/>
      <c r="F208" s="1"/>
      <c r="G208" s="1"/>
      <c r="H208" s="1"/>
      <c r="I208" s="1"/>
    </row>
    <row r="209" ht="15.75" customHeight="1">
      <c r="A209" s="133"/>
      <c r="B209" s="133"/>
      <c r="C209" s="1"/>
      <c r="D209" s="50"/>
      <c r="E209" s="50"/>
      <c r="F209" s="1"/>
      <c r="G209" s="1"/>
      <c r="H209" s="1"/>
      <c r="I209" s="1"/>
    </row>
    <row r="210" ht="15.75" customHeight="1">
      <c r="A210" s="133"/>
      <c r="B210" s="133"/>
      <c r="C210" s="1"/>
      <c r="D210" s="50"/>
      <c r="E210" s="50"/>
      <c r="F210" s="1"/>
      <c r="G210" s="1"/>
      <c r="H210" s="1"/>
      <c r="I210" s="1"/>
    </row>
    <row r="211" ht="15.75" customHeight="1">
      <c r="A211" s="133"/>
      <c r="B211" s="133"/>
      <c r="C211" s="1"/>
      <c r="D211" s="50"/>
      <c r="E211" s="50"/>
      <c r="F211" s="1"/>
      <c r="G211" s="1"/>
      <c r="H211" s="1"/>
      <c r="I211" s="1"/>
    </row>
    <row r="212" ht="15.75" customHeight="1">
      <c r="A212" s="133"/>
      <c r="B212" s="133"/>
      <c r="C212" s="1"/>
      <c r="D212" s="50"/>
      <c r="E212" s="50"/>
      <c r="F212" s="1"/>
      <c r="G212" s="1"/>
      <c r="H212" s="1"/>
      <c r="I212" s="1"/>
    </row>
    <row r="213" ht="15.75" customHeight="1">
      <c r="A213" s="133"/>
      <c r="B213" s="133"/>
      <c r="C213" s="1"/>
      <c r="D213" s="50"/>
      <c r="E213" s="50"/>
      <c r="F213" s="1"/>
      <c r="G213" s="1"/>
      <c r="H213" s="1"/>
      <c r="I213" s="1"/>
    </row>
    <row r="214" ht="15.75" customHeight="1">
      <c r="A214" s="133"/>
      <c r="B214" s="133"/>
      <c r="C214" s="1"/>
      <c r="D214" s="50"/>
      <c r="E214" s="50"/>
      <c r="F214" s="1"/>
      <c r="G214" s="1"/>
      <c r="H214" s="1"/>
      <c r="I214" s="1"/>
    </row>
    <row r="215" ht="15.75" customHeight="1">
      <c r="A215" s="133"/>
      <c r="B215" s="133"/>
      <c r="C215" s="1"/>
      <c r="D215" s="50"/>
      <c r="E215" s="50"/>
      <c r="F215" s="1"/>
      <c r="G215" s="1"/>
      <c r="H215" s="1"/>
      <c r="I215" s="1"/>
    </row>
    <row r="216" ht="15.75" customHeight="1">
      <c r="A216" s="133"/>
      <c r="B216" s="133"/>
      <c r="C216" s="1"/>
      <c r="D216" s="50"/>
      <c r="E216" s="50"/>
      <c r="F216" s="1"/>
      <c r="G216" s="1"/>
      <c r="H216" s="1"/>
      <c r="I216" s="1"/>
    </row>
    <row r="217" ht="15.75" customHeight="1">
      <c r="A217" s="133"/>
      <c r="B217" s="133"/>
      <c r="C217" s="1"/>
      <c r="D217" s="50"/>
      <c r="E217" s="50"/>
      <c r="F217" s="1"/>
      <c r="G217" s="1"/>
      <c r="H217" s="1"/>
      <c r="I217" s="1"/>
    </row>
    <row r="218" ht="15.75" customHeight="1">
      <c r="A218" s="133"/>
      <c r="B218" s="133"/>
      <c r="C218" s="1"/>
      <c r="D218" s="50"/>
      <c r="E218" s="50"/>
      <c r="F218" s="1"/>
      <c r="G218" s="1"/>
      <c r="H218" s="1"/>
      <c r="I218" s="1"/>
    </row>
    <row r="219" ht="15.75" customHeight="1">
      <c r="A219" s="133"/>
      <c r="B219" s="133"/>
      <c r="C219" s="1"/>
      <c r="D219" s="50"/>
      <c r="E219" s="50"/>
      <c r="F219" s="1"/>
      <c r="G219" s="1"/>
      <c r="H219" s="1"/>
      <c r="I219" s="1"/>
    </row>
    <row r="220" ht="15.75" customHeight="1">
      <c r="A220" s="133"/>
      <c r="B220" s="133"/>
      <c r="C220" s="1"/>
      <c r="D220" s="50"/>
      <c r="E220" s="50"/>
      <c r="F220" s="1"/>
      <c r="G220" s="1"/>
      <c r="H220" s="1"/>
      <c r="I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I3"/>
  </mergeCells>
  <drawing r:id="rId1"/>
</worksheet>
</file>